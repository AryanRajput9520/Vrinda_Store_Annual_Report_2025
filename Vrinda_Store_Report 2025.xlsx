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677895A17DECDEC6/Documents/"/>
    </mc:Choice>
  </mc:AlternateContent>
  <xr:revisionPtr revIDLastSave="907" documentId="8_{647054C4-64CB-4FAA-B39A-8EFCF71774F5}" xr6:coauthVersionLast="47" xr6:coauthVersionMax="47" xr10:uidLastSave="{4E87E366-C98A-4F95-BB3C-AC87928A90A5}"/>
  <bookViews>
    <workbookView xWindow="-108" yWindow="-108" windowWidth="23256" windowHeight="12456" xr2:uid="{00000000-000D-0000-FFFF-FFFF00000000}"/>
  </bookViews>
  <sheets>
    <sheet name="Vrinda Store Report 2025" sheetId="3" r:id="rId1"/>
    <sheet name="Channels" sheetId="9" r:id="rId2"/>
    <sheet name="Gender and Age" sheetId="8" r:id="rId3"/>
    <sheet name="Vrinda Store" sheetId="1" r:id="rId4"/>
    <sheet name="State Sales" sheetId="7" r:id="rId5"/>
    <sheet name="Sales vs Order" sheetId="2" r:id="rId6"/>
    <sheet name="order status" sheetId="6" r:id="rId7"/>
    <sheet name="Men vs  Women" sheetId="5" r:id="rId8"/>
  </sheets>
  <definedNames>
    <definedName name="_xlnm._FilterDatabase" localSheetId="3" hidden="1">'Vrinda Store'!$A$1:$U$1001</definedName>
    <definedName name="Slicer_Category">#N/A</definedName>
    <definedName name="Slicer_Channel">#N/A</definedName>
    <definedName name="Slicer_Month">#N/A</definedName>
  </definedNames>
  <calcPr calcId="191029"/>
  <pivotCaches>
    <pivotCache cacheId="12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alcChain>
</file>

<file path=xl/sharedStrings.xml><?xml version="1.0" encoding="utf-8"?>
<sst xmlns="http://schemas.openxmlformats.org/spreadsheetml/2006/main" count="14071" uniqueCount="3358">
  <si>
    <t>Order ID</t>
  </si>
  <si>
    <t>Cust ID</t>
  </si>
  <si>
    <t>Gender</t>
  </si>
  <si>
    <t>Age</t>
  </si>
  <si>
    <t>Date</t>
  </si>
  <si>
    <t>Status</t>
  </si>
  <si>
    <t>Channel</t>
  </si>
  <si>
    <t>SKU</t>
  </si>
  <si>
    <t>Category</t>
  </si>
  <si>
    <t>Size</t>
  </si>
  <si>
    <t>Qty</t>
  </si>
  <si>
    <t>Amount</t>
  </si>
  <si>
    <t>B2B</t>
  </si>
  <si>
    <t>ORD202500001</t>
  </si>
  <si>
    <t>CUST1057</t>
  </si>
  <si>
    <t>Women</t>
  </si>
  <si>
    <t>2025-03-08</t>
  </si>
  <si>
    <t>Returned</t>
  </si>
  <si>
    <t>Amazon</t>
  </si>
  <si>
    <t>SKU61485</t>
  </si>
  <si>
    <t>Top</t>
  </si>
  <si>
    <t>XL</t>
  </si>
  <si>
    <t>INR</t>
  </si>
  <si>
    <t>Mumbai</t>
  </si>
  <si>
    <t>Maharashtra</t>
  </si>
  <si>
    <t>India</t>
  </si>
  <si>
    <t>No</t>
  </si>
  <si>
    <t>ORD202500002</t>
  </si>
  <si>
    <t>CUST8739</t>
  </si>
  <si>
    <t>Men</t>
  </si>
  <si>
    <t>2025-03-27</t>
  </si>
  <si>
    <t>Ajio</t>
  </si>
  <si>
    <t>SKU31832</t>
  </si>
  <si>
    <t>Shirt</t>
  </si>
  <si>
    <t>S</t>
  </si>
  <si>
    <t>Bengaluru</t>
  </si>
  <si>
    <t>Karnataka</t>
  </si>
  <si>
    <t>ORD202500003</t>
  </si>
  <si>
    <t>CUST7141</t>
  </si>
  <si>
    <t>2025-12-11</t>
  </si>
  <si>
    <t>Meesho</t>
  </si>
  <si>
    <t>SKU91814</t>
  </si>
  <si>
    <t>Jaipur</t>
  </si>
  <si>
    <t>Rajasthan</t>
  </si>
  <si>
    <t>Yes</t>
  </si>
  <si>
    <t>ORD202500004</t>
  </si>
  <si>
    <t>CUST8408</t>
  </si>
  <si>
    <t>2025-05-17</t>
  </si>
  <si>
    <t>Cancelled</t>
  </si>
  <si>
    <t>SKU65414</t>
  </si>
  <si>
    <t>L</t>
  </si>
  <si>
    <t>Delhi</t>
  </si>
  <si>
    <t>ORD202500005</t>
  </si>
  <si>
    <t>CUST4077</t>
  </si>
  <si>
    <t>2025-06-13</t>
  </si>
  <si>
    <t>SKU19115</t>
  </si>
  <si>
    <t>Kurta</t>
  </si>
  <si>
    <t>ORD202500006</t>
  </si>
  <si>
    <t>CUST3876</t>
  </si>
  <si>
    <t>2025-10-17</t>
  </si>
  <si>
    <t>Delivered</t>
  </si>
  <si>
    <t>SKU40397</t>
  </si>
  <si>
    <t>Jeans</t>
  </si>
  <si>
    <t>ORD202500007</t>
  </si>
  <si>
    <t>CUST5331</t>
  </si>
  <si>
    <t>2025-12-26</t>
  </si>
  <si>
    <t>SKU72492</t>
  </si>
  <si>
    <t>ORD202500008</t>
  </si>
  <si>
    <t>CUST4960</t>
  </si>
  <si>
    <t>2025-03-28</t>
  </si>
  <si>
    <t>Shipped</t>
  </si>
  <si>
    <t>Myntra</t>
  </si>
  <si>
    <t>SKU67068</t>
  </si>
  <si>
    <t>Saree</t>
  </si>
  <si>
    <t>Lucknow</t>
  </si>
  <si>
    <t>Uttar Pradesh</t>
  </si>
  <si>
    <t>ORD202500009</t>
  </si>
  <si>
    <t>CUST9007</t>
  </si>
  <si>
    <t>2025-08-26</t>
  </si>
  <si>
    <t>Flipkart</t>
  </si>
  <si>
    <t>SKU51029</t>
  </si>
  <si>
    <t>ORD202500010</t>
  </si>
  <si>
    <t>CUST6105</t>
  </si>
  <si>
    <t>2025-11-30</t>
  </si>
  <si>
    <t>SKU86126</t>
  </si>
  <si>
    <t>M</t>
  </si>
  <si>
    <t>ORD202500011</t>
  </si>
  <si>
    <t>CUST9155</t>
  </si>
  <si>
    <t>2025-08-21</t>
  </si>
  <si>
    <t>SKU81171</t>
  </si>
  <si>
    <t>ORD202500012</t>
  </si>
  <si>
    <t>CUST5320</t>
  </si>
  <si>
    <t>2025-12-15</t>
  </si>
  <si>
    <t>SKU79115</t>
  </si>
  <si>
    <t>ORD202500013</t>
  </si>
  <si>
    <t>CUST5395</t>
  </si>
  <si>
    <t>2025-06-04</t>
  </si>
  <si>
    <t>SKU82599</t>
  </si>
  <si>
    <t>ORD202500014</t>
  </si>
  <si>
    <t>CUST8329</t>
  </si>
  <si>
    <t>2025-11-10</t>
  </si>
  <si>
    <t>Website</t>
  </si>
  <si>
    <t>SKU41941</t>
  </si>
  <si>
    <t>ORD202500015</t>
  </si>
  <si>
    <t>CUST6246</t>
  </si>
  <si>
    <t>2025-09-08</t>
  </si>
  <si>
    <t>SKU86504</t>
  </si>
  <si>
    <t>Dress</t>
  </si>
  <si>
    <t>ORD202500016</t>
  </si>
  <si>
    <t>CUST4744</t>
  </si>
  <si>
    <t>2025-12-10</t>
  </si>
  <si>
    <t>SKU64084</t>
  </si>
  <si>
    <t>ORD202500017</t>
  </si>
  <si>
    <t>CUST2917</t>
  </si>
  <si>
    <t>2025-03-11</t>
  </si>
  <si>
    <t>SKU97222</t>
  </si>
  <si>
    <t>ORD202500018</t>
  </si>
  <si>
    <t>CUST2905</t>
  </si>
  <si>
    <t>2025-10-23</t>
  </si>
  <si>
    <t>SKU36688</t>
  </si>
  <si>
    <t>ORD202500019</t>
  </si>
  <si>
    <t>CUST6345</t>
  </si>
  <si>
    <t>SKU20974</t>
  </si>
  <si>
    <t>ORD202500020</t>
  </si>
  <si>
    <t>CUST9737</t>
  </si>
  <si>
    <t>SKU10094</t>
  </si>
  <si>
    <t>ORD202500021</t>
  </si>
  <si>
    <t>CUST3401</t>
  </si>
  <si>
    <t>2025-05-06</t>
  </si>
  <si>
    <t>SKU53047</t>
  </si>
  <si>
    <t>ORD202500022</t>
  </si>
  <si>
    <t>CUST6464</t>
  </si>
  <si>
    <t>SKU37085</t>
  </si>
  <si>
    <t>ORD202500023</t>
  </si>
  <si>
    <t>CUST9048</t>
  </si>
  <si>
    <t>2025-02-14</t>
  </si>
  <si>
    <t>SKU61318</t>
  </si>
  <si>
    <t>ORD202500024</t>
  </si>
  <si>
    <t>CUST2384</t>
  </si>
  <si>
    <t>2025-02-20</t>
  </si>
  <si>
    <t>SKU19464</t>
  </si>
  <si>
    <t>ORD202500025</t>
  </si>
  <si>
    <t>CUST1595</t>
  </si>
  <si>
    <t>2025-12-05</t>
  </si>
  <si>
    <t>SKU31090</t>
  </si>
  <si>
    <t>ORD202500026</t>
  </si>
  <si>
    <t>CUST7544</t>
  </si>
  <si>
    <t>2025-10-07</t>
  </si>
  <si>
    <t>SKU65651</t>
  </si>
  <si>
    <t>ORD202500027</t>
  </si>
  <si>
    <t>CUST5150</t>
  </si>
  <si>
    <t>2025-07-21</t>
  </si>
  <si>
    <t>SKU91900</t>
  </si>
  <si>
    <t>ORD202500028</t>
  </si>
  <si>
    <t>CUST6846</t>
  </si>
  <si>
    <t>2025-08-09</t>
  </si>
  <si>
    <t>SKU99039</t>
  </si>
  <si>
    <t>ORD202500029</t>
  </si>
  <si>
    <t>CUST8253</t>
  </si>
  <si>
    <t>2025-08-20</t>
  </si>
  <si>
    <t>SKU76729</t>
  </si>
  <si>
    <t>ORD202500030</t>
  </si>
  <si>
    <t>CUST4005</t>
  </si>
  <si>
    <t>2025-03-24</t>
  </si>
  <si>
    <t>SKU45619</t>
  </si>
  <si>
    <t>ORD202500031</t>
  </si>
  <si>
    <t>CUST9590</t>
  </si>
  <si>
    <t>2025-01-25</t>
  </si>
  <si>
    <t>SKU42782</t>
  </si>
  <si>
    <t>ORD202500032</t>
  </si>
  <si>
    <t>CUST4346</t>
  </si>
  <si>
    <t>2025-07-13</t>
  </si>
  <si>
    <t>SKU32347</t>
  </si>
  <si>
    <t>ORD202500033</t>
  </si>
  <si>
    <t>CUST9761</t>
  </si>
  <si>
    <t>2025-04-01</t>
  </si>
  <si>
    <t>SKU49521</t>
  </si>
  <si>
    <t>ORD202500034</t>
  </si>
  <si>
    <t>CUST4463</t>
  </si>
  <si>
    <t>2025-04-17</t>
  </si>
  <si>
    <t>SKU69456</t>
  </si>
  <si>
    <t>ORD202500035</t>
  </si>
  <si>
    <t>CUST9018</t>
  </si>
  <si>
    <t>2025-07-30</t>
  </si>
  <si>
    <t>SKU95325</t>
  </si>
  <si>
    <t>ORD202500036</t>
  </si>
  <si>
    <t>CUST8552</t>
  </si>
  <si>
    <t>2025-04-13</t>
  </si>
  <si>
    <t>SKU24942</t>
  </si>
  <si>
    <t>ORD202500037</t>
  </si>
  <si>
    <t>CUST6187</t>
  </si>
  <si>
    <t>2025-09-02</t>
  </si>
  <si>
    <t>SKU37370</t>
  </si>
  <si>
    <t>ORD202500038</t>
  </si>
  <si>
    <t>CUST8311</t>
  </si>
  <si>
    <t>2025-10-19</t>
  </si>
  <si>
    <t>SKU85936</t>
  </si>
  <si>
    <t>ORD202500039</t>
  </si>
  <si>
    <t>CUST7295</t>
  </si>
  <si>
    <t>2025-03-12</t>
  </si>
  <si>
    <t>SKU59450</t>
  </si>
  <si>
    <t>ORD202500040</t>
  </si>
  <si>
    <t>CUST8661</t>
  </si>
  <si>
    <t>2025-10-10</t>
  </si>
  <si>
    <t>SKU59487</t>
  </si>
  <si>
    <t>ORD202500041</t>
  </si>
  <si>
    <t>CUST8118</t>
  </si>
  <si>
    <t>2025-01-15</t>
  </si>
  <si>
    <t>SKU95616</t>
  </si>
  <si>
    <t>ORD202500042</t>
  </si>
  <si>
    <t>CUST7996</t>
  </si>
  <si>
    <t>SKU67320</t>
  </si>
  <si>
    <t>ORD202500043</t>
  </si>
  <si>
    <t>CUST6190</t>
  </si>
  <si>
    <t>2025-07-19</t>
  </si>
  <si>
    <t>SKU80095</t>
  </si>
  <si>
    <t>ORD202500044</t>
  </si>
  <si>
    <t>CUST7054</t>
  </si>
  <si>
    <t>2025-03-30</t>
  </si>
  <si>
    <t>SKU89932</t>
  </si>
  <si>
    <t>ORD202500045</t>
  </si>
  <si>
    <t>CUST5368</t>
  </si>
  <si>
    <t>2025-08-05</t>
  </si>
  <si>
    <t>SKU31889</t>
  </si>
  <si>
    <t>ORD202500046</t>
  </si>
  <si>
    <t>CUST2334</t>
  </si>
  <si>
    <t>2025-07-15</t>
  </si>
  <si>
    <t>SKU25645</t>
  </si>
  <si>
    <t>ORD202500047</t>
  </si>
  <si>
    <t>CUST7735</t>
  </si>
  <si>
    <t>2025-01-13</t>
  </si>
  <si>
    <t>SKU38149</t>
  </si>
  <si>
    <t>ORD202500048</t>
  </si>
  <si>
    <t>CUST3038</t>
  </si>
  <si>
    <t>2025-08-24</t>
  </si>
  <si>
    <t>SKU30906</t>
  </si>
  <si>
    <t>ORD202500049</t>
  </si>
  <si>
    <t>CUST2691</t>
  </si>
  <si>
    <t>2025-02-12</t>
  </si>
  <si>
    <t>SKU68799</t>
  </si>
  <si>
    <t>ORD202500050</t>
  </si>
  <si>
    <t>CUST8381</t>
  </si>
  <si>
    <t>2025-05-30</t>
  </si>
  <si>
    <t>SKU68045</t>
  </si>
  <si>
    <t>ORD202500051</t>
  </si>
  <si>
    <t>CUST5796</t>
  </si>
  <si>
    <t>2025-11-23</t>
  </si>
  <si>
    <t>SKU57866</t>
  </si>
  <si>
    <t>ORD202500052</t>
  </si>
  <si>
    <t>CUST1599</t>
  </si>
  <si>
    <t>2025-11-14</t>
  </si>
  <si>
    <t>SKU97473</t>
  </si>
  <si>
    <t>ORD202500053</t>
  </si>
  <si>
    <t>CUST8436</t>
  </si>
  <si>
    <t>2025-11-18</t>
  </si>
  <si>
    <t>SKU83660</t>
  </si>
  <si>
    <t>ORD202500054</t>
  </si>
  <si>
    <t>CUST5501</t>
  </si>
  <si>
    <t>2025-03-20</t>
  </si>
  <si>
    <t>SKU94167</t>
  </si>
  <si>
    <t>ORD202500055</t>
  </si>
  <si>
    <t>CUST8624</t>
  </si>
  <si>
    <t>2025-09-04</t>
  </si>
  <si>
    <t>SKU15811</t>
  </si>
  <si>
    <t>ORD202500056</t>
  </si>
  <si>
    <t>CUST8145</t>
  </si>
  <si>
    <t>2025-05-31</t>
  </si>
  <si>
    <t>SKU95723</t>
  </si>
  <si>
    <t>ORD202500057</t>
  </si>
  <si>
    <t>CUST2595</t>
  </si>
  <si>
    <t>SKU14658</t>
  </si>
  <si>
    <t>ORD202500058</t>
  </si>
  <si>
    <t>CUST7704</t>
  </si>
  <si>
    <t>SKU48606</t>
  </si>
  <si>
    <t>ORD202500059</t>
  </si>
  <si>
    <t>CUST8686</t>
  </si>
  <si>
    <t>SKU52755</t>
  </si>
  <si>
    <t>ORD202500060</t>
  </si>
  <si>
    <t>CUST5003</t>
  </si>
  <si>
    <t>SKU80263</t>
  </si>
  <si>
    <t>ORD202500061</t>
  </si>
  <si>
    <t>SKU68716</t>
  </si>
  <si>
    <t>ORD202500062</t>
  </si>
  <si>
    <t>CUST8461</t>
  </si>
  <si>
    <t>2025-02-05</t>
  </si>
  <si>
    <t>SKU36641</t>
  </si>
  <si>
    <t>ORD202500063</t>
  </si>
  <si>
    <t>CUST2017</t>
  </si>
  <si>
    <t>2025-04-19</t>
  </si>
  <si>
    <t>SKU62687</t>
  </si>
  <si>
    <t>ORD202500064</t>
  </si>
  <si>
    <t>CUST1146</t>
  </si>
  <si>
    <t>2025-05-09</t>
  </si>
  <si>
    <t>SKU92532</t>
  </si>
  <si>
    <t>ORD202500065</t>
  </si>
  <si>
    <t>CUST2518</t>
  </si>
  <si>
    <t>2025-01-22</t>
  </si>
  <si>
    <t>SKU97990</t>
  </si>
  <si>
    <t>ORD202500066</t>
  </si>
  <si>
    <t>CUST5579</t>
  </si>
  <si>
    <t>2025-01-12</t>
  </si>
  <si>
    <t>SKU89933</t>
  </si>
  <si>
    <t>ORD202500067</t>
  </si>
  <si>
    <t>CUST9911</t>
  </si>
  <si>
    <t>2025-06-26</t>
  </si>
  <si>
    <t>SKU72562</t>
  </si>
  <si>
    <t>ORD202500068</t>
  </si>
  <si>
    <t>CUST8115</t>
  </si>
  <si>
    <t>2025-07-14</t>
  </si>
  <si>
    <t>SKU71454</t>
  </si>
  <si>
    <t>ORD202500069</t>
  </si>
  <si>
    <t>CUST9230</t>
  </si>
  <si>
    <t>2025-10-31</t>
  </si>
  <si>
    <t>SKU31041</t>
  </si>
  <si>
    <t>ORD202500070</t>
  </si>
  <si>
    <t>CUST4423</t>
  </si>
  <si>
    <t>2025-01-19</t>
  </si>
  <si>
    <t>SKU64637</t>
  </si>
  <si>
    <t>ORD202500071</t>
  </si>
  <si>
    <t>CUST9333</t>
  </si>
  <si>
    <t>2025-12-08</t>
  </si>
  <si>
    <t>SKU69457</t>
  </si>
  <si>
    <t>ORD202500072</t>
  </si>
  <si>
    <t>CUST9368</t>
  </si>
  <si>
    <t>2025-09-10</t>
  </si>
  <si>
    <t>SKU93172</t>
  </si>
  <si>
    <t>ORD202500073</t>
  </si>
  <si>
    <t>CUST1436</t>
  </si>
  <si>
    <t>2025-03-31</t>
  </si>
  <si>
    <t>SKU56644</t>
  </si>
  <si>
    <t>ORD202500074</t>
  </si>
  <si>
    <t>CUST7960</t>
  </si>
  <si>
    <t>SKU47993</t>
  </si>
  <si>
    <t>ORD202500075</t>
  </si>
  <si>
    <t>CUST3668</t>
  </si>
  <si>
    <t>SKU15840</t>
  </si>
  <si>
    <t>ORD202500076</t>
  </si>
  <si>
    <t>CUST8933</t>
  </si>
  <si>
    <t>2025-05-24</t>
  </si>
  <si>
    <t>SKU78483</t>
  </si>
  <si>
    <t>ORD202500077</t>
  </si>
  <si>
    <t>CUST4945</t>
  </si>
  <si>
    <t>2025-05-29</t>
  </si>
  <si>
    <t>SKU21715</t>
  </si>
  <si>
    <t>ORD202500078</t>
  </si>
  <si>
    <t>CUST1888</t>
  </si>
  <si>
    <t>2025-08-02</t>
  </si>
  <si>
    <t>SKU37468</t>
  </si>
  <si>
    <t>ORD202500079</t>
  </si>
  <si>
    <t>CUST1688</t>
  </si>
  <si>
    <t>2025-11-13</t>
  </si>
  <si>
    <t>SKU55005</t>
  </si>
  <si>
    <t>ORD202500080</t>
  </si>
  <si>
    <t>CUST8565</t>
  </si>
  <si>
    <t>2025-06-25</t>
  </si>
  <si>
    <t>SKU45658</t>
  </si>
  <si>
    <t>ORD202500081</t>
  </si>
  <si>
    <t>CUST9115</t>
  </si>
  <si>
    <t>2025-07-03</t>
  </si>
  <si>
    <t>SKU66829</t>
  </si>
  <si>
    <t>ORD202500082</t>
  </si>
  <si>
    <t>CUST3863</t>
  </si>
  <si>
    <t>2025-12-29</t>
  </si>
  <si>
    <t>SKU24016</t>
  </si>
  <si>
    <t>ORD202500083</t>
  </si>
  <si>
    <t>CUST8982</t>
  </si>
  <si>
    <t>2025-07-17</t>
  </si>
  <si>
    <t>SKU60914</t>
  </si>
  <si>
    <t>ORD202500084</t>
  </si>
  <si>
    <t>CUST1979</t>
  </si>
  <si>
    <t>SKU42958</t>
  </si>
  <si>
    <t>ORD202500085</t>
  </si>
  <si>
    <t>CUST1442</t>
  </si>
  <si>
    <t>2025-09-18</t>
  </si>
  <si>
    <t>SKU31844</t>
  </si>
  <si>
    <t>ORD202500086</t>
  </si>
  <si>
    <t>SKU42453</t>
  </si>
  <si>
    <t>ORD202500087</t>
  </si>
  <si>
    <t>CUST2954</t>
  </si>
  <si>
    <t>SKU85073</t>
  </si>
  <si>
    <t>ORD202500088</t>
  </si>
  <si>
    <t>CUST1051</t>
  </si>
  <si>
    <t>2025-08-29</t>
  </si>
  <si>
    <t>SKU79502</t>
  </si>
  <si>
    <t>ORD202500089</t>
  </si>
  <si>
    <t>CUST6871</t>
  </si>
  <si>
    <t>2025-05-10</t>
  </si>
  <si>
    <t>SKU23464</t>
  </si>
  <si>
    <t>ORD202500090</t>
  </si>
  <si>
    <t>CUST8539</t>
  </si>
  <si>
    <t>SKU38932</t>
  </si>
  <si>
    <t>ORD202500091</t>
  </si>
  <si>
    <t>CUST7089</t>
  </si>
  <si>
    <t>2025-04-23</t>
  </si>
  <si>
    <t>SKU16094</t>
  </si>
  <si>
    <t>ORD202500092</t>
  </si>
  <si>
    <t>CUST4790</t>
  </si>
  <si>
    <t>2025-06-11</t>
  </si>
  <si>
    <t>SKU47486</t>
  </si>
  <si>
    <t>ORD202500093</t>
  </si>
  <si>
    <t>CUST8826</t>
  </si>
  <si>
    <t>SKU23376</t>
  </si>
  <si>
    <t>ORD202500094</t>
  </si>
  <si>
    <t>CUST2345</t>
  </si>
  <si>
    <t>2025-02-03</t>
  </si>
  <si>
    <t>SKU88012</t>
  </si>
  <si>
    <t>ORD202500095</t>
  </si>
  <si>
    <t>CUST5735</t>
  </si>
  <si>
    <t>2025-03-25</t>
  </si>
  <si>
    <t>SKU33548</t>
  </si>
  <si>
    <t>ORD202500096</t>
  </si>
  <si>
    <t>CUST4050</t>
  </si>
  <si>
    <t>SKU29723</t>
  </si>
  <si>
    <t>ORD202500097</t>
  </si>
  <si>
    <t>CUST9360</t>
  </si>
  <si>
    <t>2025-08-15</t>
  </si>
  <si>
    <t>SKU53825</t>
  </si>
  <si>
    <t>ORD202500098</t>
  </si>
  <si>
    <t>CUST3596</t>
  </si>
  <si>
    <t>2025-06-10</t>
  </si>
  <si>
    <t>SKU66614</t>
  </si>
  <si>
    <t>ORD202500099</t>
  </si>
  <si>
    <t>CUST4759</t>
  </si>
  <si>
    <t>SKU34399</t>
  </si>
  <si>
    <t>ORD202500100</t>
  </si>
  <si>
    <t>CUST5984</t>
  </si>
  <si>
    <t>2025-11-01</t>
  </si>
  <si>
    <t>SKU36050</t>
  </si>
  <si>
    <t>ORD202500101</t>
  </si>
  <si>
    <t>CUST6213</t>
  </si>
  <si>
    <t>2025-03-23</t>
  </si>
  <si>
    <t>SKU60296</t>
  </si>
  <si>
    <t>ORD202500102</t>
  </si>
  <si>
    <t>CUST9413</t>
  </si>
  <si>
    <t>2025-04-20</t>
  </si>
  <si>
    <t>SKU69390</t>
  </si>
  <si>
    <t>ORD202500103</t>
  </si>
  <si>
    <t>CUST7988</t>
  </si>
  <si>
    <t>2025-09-07</t>
  </si>
  <si>
    <t>SKU39827</t>
  </si>
  <si>
    <t>ORD202500104</t>
  </si>
  <si>
    <t>CUST3179</t>
  </si>
  <si>
    <t>SKU10862</t>
  </si>
  <si>
    <t>ORD202500105</t>
  </si>
  <si>
    <t>CUST7606</t>
  </si>
  <si>
    <t>2025-05-15</t>
  </si>
  <si>
    <t>SKU53769</t>
  </si>
  <si>
    <t>ORD202500106</t>
  </si>
  <si>
    <t>CUST7894</t>
  </si>
  <si>
    <t>2025-08-04</t>
  </si>
  <si>
    <t>SKU53891</t>
  </si>
  <si>
    <t>ORD202500107</t>
  </si>
  <si>
    <t>CUST5847</t>
  </si>
  <si>
    <t>2025-06-03</t>
  </si>
  <si>
    <t>SKU94399</t>
  </si>
  <si>
    <t>ORD202500108</t>
  </si>
  <si>
    <t>CUST9778</t>
  </si>
  <si>
    <t>2025-10-28</t>
  </si>
  <si>
    <t>SKU52141</t>
  </si>
  <si>
    <t>ORD202500109</t>
  </si>
  <si>
    <t>CUST8747</t>
  </si>
  <si>
    <t>2025-06-18</t>
  </si>
  <si>
    <t>SKU54017</t>
  </si>
  <si>
    <t>ORD202500110</t>
  </si>
  <si>
    <t>CUST9564</t>
  </si>
  <si>
    <t>2025-01-10</t>
  </si>
  <si>
    <t>SKU64712</t>
  </si>
  <si>
    <t>ORD202500111</t>
  </si>
  <si>
    <t>CUST3462</t>
  </si>
  <si>
    <t>2025-03-06</t>
  </si>
  <si>
    <t>SKU17153</t>
  </si>
  <si>
    <t>ORD202500112</t>
  </si>
  <si>
    <t>CUST3622</t>
  </si>
  <si>
    <t>2025-06-20</t>
  </si>
  <si>
    <t>SKU58528</t>
  </si>
  <si>
    <t>ORD202500113</t>
  </si>
  <si>
    <t>CUST9505</t>
  </si>
  <si>
    <t>2025-04-08</t>
  </si>
  <si>
    <t>SKU42175</t>
  </si>
  <si>
    <t>ORD202500114</t>
  </si>
  <si>
    <t>CUST8402</t>
  </si>
  <si>
    <t>2025-01-07</t>
  </si>
  <si>
    <t>SKU24491</t>
  </si>
  <si>
    <t>ORD202500115</t>
  </si>
  <si>
    <t>CUST3422</t>
  </si>
  <si>
    <t>SKU74897</t>
  </si>
  <si>
    <t>ORD202500116</t>
  </si>
  <si>
    <t>CUST9080</t>
  </si>
  <si>
    <t>2025-10-30</t>
  </si>
  <si>
    <t>SKU72386</t>
  </si>
  <si>
    <t>ORD202500117</t>
  </si>
  <si>
    <t>CUST3452</t>
  </si>
  <si>
    <t>2025-12-19</t>
  </si>
  <si>
    <t>SKU27979</t>
  </si>
  <si>
    <t>ORD202500118</t>
  </si>
  <si>
    <t>CUST9921</t>
  </si>
  <si>
    <t>2025-12-28</t>
  </si>
  <si>
    <t>SKU12364</t>
  </si>
  <si>
    <t>ORD202500119</t>
  </si>
  <si>
    <t>CUST2443</t>
  </si>
  <si>
    <t>2025-05-20</t>
  </si>
  <si>
    <t>SKU87914</t>
  </si>
  <si>
    <t>ORD202500120</t>
  </si>
  <si>
    <t>CUST6876</t>
  </si>
  <si>
    <t>2025-06-24</t>
  </si>
  <si>
    <t>SKU98746</t>
  </si>
  <si>
    <t>ORD202500121</t>
  </si>
  <si>
    <t>CUST8391</t>
  </si>
  <si>
    <t>2025-05-19</t>
  </si>
  <si>
    <t>SKU40813</t>
  </si>
  <si>
    <t>ORD202500122</t>
  </si>
  <si>
    <t>CUST4233</t>
  </si>
  <si>
    <t>2025-10-21</t>
  </si>
  <si>
    <t>SKU72557</t>
  </si>
  <si>
    <t>ORD202500123</t>
  </si>
  <si>
    <t>CUST5883</t>
  </si>
  <si>
    <t>2025-11-07</t>
  </si>
  <si>
    <t>SKU11999</t>
  </si>
  <si>
    <t>ORD202500124</t>
  </si>
  <si>
    <t>CUST1013</t>
  </si>
  <si>
    <t>2025-09-30</t>
  </si>
  <si>
    <t>SKU32145</t>
  </si>
  <si>
    <t>ORD202500125</t>
  </si>
  <si>
    <t>CUST5992</t>
  </si>
  <si>
    <t>2025-03-18</t>
  </si>
  <si>
    <t>SKU51970</t>
  </si>
  <si>
    <t>ORD202500126</t>
  </si>
  <si>
    <t>CUST7245</t>
  </si>
  <si>
    <t>2025-02-27</t>
  </si>
  <si>
    <t>SKU52112</t>
  </si>
  <si>
    <t>ORD202500127</t>
  </si>
  <si>
    <t>CUST3743</t>
  </si>
  <si>
    <t>2025-08-28</t>
  </si>
  <si>
    <t>SKU65582</t>
  </si>
  <si>
    <t>ORD202500128</t>
  </si>
  <si>
    <t>CUST9903</t>
  </si>
  <si>
    <t>SKU15861</t>
  </si>
  <si>
    <t>ORD202500129</t>
  </si>
  <si>
    <t>CUST9184</t>
  </si>
  <si>
    <t>2025-05-14</t>
  </si>
  <si>
    <t>SKU61966</t>
  </si>
  <si>
    <t>ORD202500130</t>
  </si>
  <si>
    <t>CUST1711</t>
  </si>
  <si>
    <t>SKU34967</t>
  </si>
  <si>
    <t>ORD202500131</t>
  </si>
  <si>
    <t>CUST7243</t>
  </si>
  <si>
    <t>2025-09-26</t>
  </si>
  <si>
    <t>SKU42219</t>
  </si>
  <si>
    <t>ORD202500132</t>
  </si>
  <si>
    <t>CUST1731</t>
  </si>
  <si>
    <t>SKU50870</t>
  </si>
  <si>
    <t>ORD202500133</t>
  </si>
  <si>
    <t>CUST2238</t>
  </si>
  <si>
    <t>2025-11-29</t>
  </si>
  <si>
    <t>SKU12379</t>
  </si>
  <si>
    <t>ORD202500134</t>
  </si>
  <si>
    <t>CUST8832</t>
  </si>
  <si>
    <t>2025-10-22</t>
  </si>
  <si>
    <t>SKU95912</t>
  </si>
  <si>
    <t>ORD202500135</t>
  </si>
  <si>
    <t>CUST2519</t>
  </si>
  <si>
    <t>SKU19957</t>
  </si>
  <si>
    <t>ORD202500136</t>
  </si>
  <si>
    <t>CUST9638</t>
  </si>
  <si>
    <t>2025-04-15</t>
  </si>
  <si>
    <t>SKU88647</t>
  </si>
  <si>
    <t>ORD202500137</t>
  </si>
  <si>
    <t>CUST6935</t>
  </si>
  <si>
    <t>2025-04-06</t>
  </si>
  <si>
    <t>SKU73745</t>
  </si>
  <si>
    <t>ORD202500138</t>
  </si>
  <si>
    <t>CUST8527</t>
  </si>
  <si>
    <t>2025-01-21</t>
  </si>
  <si>
    <t>SKU13610</t>
  </si>
  <si>
    <t>ORD202500139</t>
  </si>
  <si>
    <t>CUST7276</t>
  </si>
  <si>
    <t>2025-01-27</t>
  </si>
  <si>
    <t>SKU46890</t>
  </si>
  <si>
    <t>ORD202500140</t>
  </si>
  <si>
    <t>CUST8491</t>
  </si>
  <si>
    <t>2025-05-11</t>
  </si>
  <si>
    <t>SKU80307</t>
  </si>
  <si>
    <t>ORD202500141</t>
  </si>
  <si>
    <t>CUST5341</t>
  </si>
  <si>
    <t>SKU53081</t>
  </si>
  <si>
    <t>ORD202500142</t>
  </si>
  <si>
    <t>CUST2711</t>
  </si>
  <si>
    <t>2025-04-11</t>
  </si>
  <si>
    <t>SKU43450</t>
  </si>
  <si>
    <t>ORD202500143</t>
  </si>
  <si>
    <t>CUST9455</t>
  </si>
  <si>
    <t>2025-10-12</t>
  </si>
  <si>
    <t>SKU69610</t>
  </si>
  <si>
    <t>ORD202500144</t>
  </si>
  <si>
    <t>CUST2841</t>
  </si>
  <si>
    <t>2025-02-19</t>
  </si>
  <si>
    <t>SKU41575</t>
  </si>
  <si>
    <t>ORD202500145</t>
  </si>
  <si>
    <t>CUST5393</t>
  </si>
  <si>
    <t>2025-05-13</t>
  </si>
  <si>
    <t>SKU18617</t>
  </si>
  <si>
    <t>ORD202500146</t>
  </si>
  <si>
    <t>CUST2471</t>
  </si>
  <si>
    <t>2025-06-05</t>
  </si>
  <si>
    <t>SKU20364</t>
  </si>
  <si>
    <t>ORD202500147</t>
  </si>
  <si>
    <t>CUST2985</t>
  </si>
  <si>
    <t>2025-01-14</t>
  </si>
  <si>
    <t>SKU64989</t>
  </si>
  <si>
    <t>ORD202500148</t>
  </si>
  <si>
    <t>CUST8045</t>
  </si>
  <si>
    <t>SKU19841</t>
  </si>
  <si>
    <t>ORD202500149</t>
  </si>
  <si>
    <t>CUST5449</t>
  </si>
  <si>
    <t>SKU11982</t>
  </si>
  <si>
    <t>ORD202500150</t>
  </si>
  <si>
    <t>CUST2329</t>
  </si>
  <si>
    <t>2025-08-06</t>
  </si>
  <si>
    <t>SKU65764</t>
  </si>
  <si>
    <t>ORD202500151</t>
  </si>
  <si>
    <t>CUST1207</t>
  </si>
  <si>
    <t>2025-12-16</t>
  </si>
  <si>
    <t>SKU24703</t>
  </si>
  <si>
    <t>ORD202500152</t>
  </si>
  <si>
    <t>CUST7439</t>
  </si>
  <si>
    <t>2025-04-14</t>
  </si>
  <si>
    <t>SKU60113</t>
  </si>
  <si>
    <t>ORD202500153</t>
  </si>
  <si>
    <t>CUST2944</t>
  </si>
  <si>
    <t>2025-11-19</t>
  </si>
  <si>
    <t>SKU12863</t>
  </si>
  <si>
    <t>ORD202500154</t>
  </si>
  <si>
    <t>CUST8599</t>
  </si>
  <si>
    <t>SKU18885</t>
  </si>
  <si>
    <t>ORD202500155</t>
  </si>
  <si>
    <t>CUST1449</t>
  </si>
  <si>
    <t>SKU57207</t>
  </si>
  <si>
    <t>ORD202500156</t>
  </si>
  <si>
    <t>CUST3091</t>
  </si>
  <si>
    <t>2025-07-12</t>
  </si>
  <si>
    <t>SKU75289</t>
  </si>
  <si>
    <t>ORD202500157</t>
  </si>
  <si>
    <t>CUST5294</t>
  </si>
  <si>
    <t>2025-08-12</t>
  </si>
  <si>
    <t>SKU31160</t>
  </si>
  <si>
    <t>ORD202500158</t>
  </si>
  <si>
    <t>CUST2614</t>
  </si>
  <si>
    <t>SKU66313</t>
  </si>
  <si>
    <t>ORD202500159</t>
  </si>
  <si>
    <t>CUST9957</t>
  </si>
  <si>
    <t>SKU65605</t>
  </si>
  <si>
    <t>ORD202500160</t>
  </si>
  <si>
    <t>CUST4275</t>
  </si>
  <si>
    <t>2025-11-17</t>
  </si>
  <si>
    <t>SKU31161</t>
  </si>
  <si>
    <t>ORD202500161</t>
  </si>
  <si>
    <t>CUST6129</t>
  </si>
  <si>
    <t>SKU12293</t>
  </si>
  <si>
    <t>ORD202500162</t>
  </si>
  <si>
    <t>CUST9231</t>
  </si>
  <si>
    <t>SKU18328</t>
  </si>
  <si>
    <t>ORD202500163</t>
  </si>
  <si>
    <t>CUST1753</t>
  </si>
  <si>
    <t>SKU38822</t>
  </si>
  <si>
    <t>ORD202500164</t>
  </si>
  <si>
    <t>CUST5574</t>
  </si>
  <si>
    <t>2025-08-07</t>
  </si>
  <si>
    <t>SKU11317</t>
  </si>
  <si>
    <t>ORD202500165</t>
  </si>
  <si>
    <t>CUST6808</t>
  </si>
  <si>
    <t>2025-03-04</t>
  </si>
  <si>
    <t>SKU29732</t>
  </si>
  <si>
    <t>ORD202500166</t>
  </si>
  <si>
    <t>CUST2755</t>
  </si>
  <si>
    <t>2025-06-02</t>
  </si>
  <si>
    <t>SKU23961</t>
  </si>
  <si>
    <t>ORD202500167</t>
  </si>
  <si>
    <t>CUST8851</t>
  </si>
  <si>
    <t>SKU15878</t>
  </si>
  <si>
    <t>ORD202500168</t>
  </si>
  <si>
    <t>CUST3100</t>
  </si>
  <si>
    <t>SKU38795</t>
  </si>
  <si>
    <t>ORD202500169</t>
  </si>
  <si>
    <t>CUST2217</t>
  </si>
  <si>
    <t>2025-10-03</t>
  </si>
  <si>
    <t>SKU14380</t>
  </si>
  <si>
    <t>ORD202500170</t>
  </si>
  <si>
    <t>CUST6793</t>
  </si>
  <si>
    <t>2025-09-22</t>
  </si>
  <si>
    <t>SKU61729</t>
  </si>
  <si>
    <t>ORD202500171</t>
  </si>
  <si>
    <t>CUST5888</t>
  </si>
  <si>
    <t>2025-12-20</t>
  </si>
  <si>
    <t>SKU98276</t>
  </si>
  <si>
    <t>ORD202500172</t>
  </si>
  <si>
    <t>CUST8755</t>
  </si>
  <si>
    <t>2025-02-08</t>
  </si>
  <si>
    <t>SKU24023</t>
  </si>
  <si>
    <t>ORD202500173</t>
  </si>
  <si>
    <t>CUST5892</t>
  </si>
  <si>
    <t>SKU65640</t>
  </si>
  <si>
    <t>ORD202500174</t>
  </si>
  <si>
    <t>CUST7616</t>
  </si>
  <si>
    <t>2025-02-07</t>
  </si>
  <si>
    <t>SKU99767</t>
  </si>
  <si>
    <t>ORD202500175</t>
  </si>
  <si>
    <t>CUST7557</t>
  </si>
  <si>
    <t>2025-04-02</t>
  </si>
  <si>
    <t>SKU84359</t>
  </si>
  <si>
    <t>ORD202500176</t>
  </si>
  <si>
    <t>CUST3800</t>
  </si>
  <si>
    <t>2025-09-24</t>
  </si>
  <si>
    <t>SKU41792</t>
  </si>
  <si>
    <t>ORD202500177</t>
  </si>
  <si>
    <t>CUST6330</t>
  </si>
  <si>
    <t>SKU17989</t>
  </si>
  <si>
    <t>ORD202500178</t>
  </si>
  <si>
    <t>CUST9567</t>
  </si>
  <si>
    <t>2025-07-02</t>
  </si>
  <si>
    <t>SKU12607</t>
  </si>
  <si>
    <t>ORD202500179</t>
  </si>
  <si>
    <t>CUST9015</t>
  </si>
  <si>
    <t>SKU42514</t>
  </si>
  <si>
    <t>ORD202500180</t>
  </si>
  <si>
    <t>CUST8135</t>
  </si>
  <si>
    <t>SKU28557</t>
  </si>
  <si>
    <t>ORD202500181</t>
  </si>
  <si>
    <t>CUST4324</t>
  </si>
  <si>
    <t>SKU38467</t>
  </si>
  <si>
    <t>ORD202500182</t>
  </si>
  <si>
    <t>CUST7665</t>
  </si>
  <si>
    <t>SKU21275</t>
  </si>
  <si>
    <t>ORD202500183</t>
  </si>
  <si>
    <t>CUST7473</t>
  </si>
  <si>
    <t>SKU21223</t>
  </si>
  <si>
    <t>ORD202500184</t>
  </si>
  <si>
    <t>CUST6457</t>
  </si>
  <si>
    <t>SKU94660</t>
  </si>
  <si>
    <t>ORD202500185</t>
  </si>
  <si>
    <t>CUST2646</t>
  </si>
  <si>
    <t>2025-09-09</t>
  </si>
  <si>
    <t>SKU84861</t>
  </si>
  <si>
    <t>ORD202500186</t>
  </si>
  <si>
    <t>CUST8327</t>
  </si>
  <si>
    <t>SKU82476</t>
  </si>
  <si>
    <t>ORD202500187</t>
  </si>
  <si>
    <t>CUST7748</t>
  </si>
  <si>
    <t>2025-12-31</t>
  </si>
  <si>
    <t>SKU61521</t>
  </si>
  <si>
    <t>ORD202500188</t>
  </si>
  <si>
    <t>CUST1191</t>
  </si>
  <si>
    <t>SKU60572</t>
  </si>
  <si>
    <t>ORD202500189</t>
  </si>
  <si>
    <t>CUST6656</t>
  </si>
  <si>
    <t>SKU60090</t>
  </si>
  <si>
    <t>ORD202500190</t>
  </si>
  <si>
    <t>CUST4336</t>
  </si>
  <si>
    <t>2025-12-18</t>
  </si>
  <si>
    <t>SKU17983</t>
  </si>
  <si>
    <t>ORD202500191</t>
  </si>
  <si>
    <t>CUST9565</t>
  </si>
  <si>
    <t>SKU79375</t>
  </si>
  <si>
    <t>ORD202500192</t>
  </si>
  <si>
    <t>CUST1386</t>
  </si>
  <si>
    <t>2025-11-15</t>
  </si>
  <si>
    <t>SKU45527</t>
  </si>
  <si>
    <t>ORD202500193</t>
  </si>
  <si>
    <t>CUST1694</t>
  </si>
  <si>
    <t>2025-06-09</t>
  </si>
  <si>
    <t>SKU29405</t>
  </si>
  <si>
    <t>ORD202500194</t>
  </si>
  <si>
    <t>CUST4330</t>
  </si>
  <si>
    <t>SKU24244</t>
  </si>
  <si>
    <t>ORD202500195</t>
  </si>
  <si>
    <t>CUST2429</t>
  </si>
  <si>
    <t>SKU69477</t>
  </si>
  <si>
    <t>ORD202500196</t>
  </si>
  <si>
    <t>CUST8305</t>
  </si>
  <si>
    <t>SKU20740</t>
  </si>
  <si>
    <t>ORD202500197</t>
  </si>
  <si>
    <t>CUST6698</t>
  </si>
  <si>
    <t>SKU49105</t>
  </si>
  <si>
    <t>ORD202500198</t>
  </si>
  <si>
    <t>CUST6216</t>
  </si>
  <si>
    <t>2025-01-16</t>
  </si>
  <si>
    <t>SKU88674</t>
  </si>
  <si>
    <t>ORD202500199</t>
  </si>
  <si>
    <t>CUST6288</t>
  </si>
  <si>
    <t>SKU46668</t>
  </si>
  <si>
    <t>ORD202500200</t>
  </si>
  <si>
    <t>CUST2981</t>
  </si>
  <si>
    <t>2025-04-04</t>
  </si>
  <si>
    <t>SKU11851</t>
  </si>
  <si>
    <t>ORD202500201</t>
  </si>
  <si>
    <t>CUST2843</t>
  </si>
  <si>
    <t>SKU32250</t>
  </si>
  <si>
    <t>ORD202500202</t>
  </si>
  <si>
    <t>CUST3350</t>
  </si>
  <si>
    <t>2025-01-02</t>
  </si>
  <si>
    <t>SKU66521</t>
  </si>
  <si>
    <t>ORD202500203</t>
  </si>
  <si>
    <t>CUST7320</t>
  </si>
  <si>
    <t>2025-10-24</t>
  </si>
  <si>
    <t>SKU38232</t>
  </si>
  <si>
    <t>ORD202500204</t>
  </si>
  <si>
    <t>CUST1162</t>
  </si>
  <si>
    <t>2025-06-30</t>
  </si>
  <si>
    <t>SKU60643</t>
  </si>
  <si>
    <t>ORD202500205</t>
  </si>
  <si>
    <t>CUST4787</t>
  </si>
  <si>
    <t>SKU96728</t>
  </si>
  <si>
    <t>ORD202500206</t>
  </si>
  <si>
    <t>CUST6767</t>
  </si>
  <si>
    <t>SKU22258</t>
  </si>
  <si>
    <t>ORD202500207</t>
  </si>
  <si>
    <t>CUST2665</t>
  </si>
  <si>
    <t>SKU33872</t>
  </si>
  <si>
    <t>ORD202500208</t>
  </si>
  <si>
    <t>CUST3203</t>
  </si>
  <si>
    <t>SKU70759</t>
  </si>
  <si>
    <t>ORD202500209</t>
  </si>
  <si>
    <t>CUST8266</t>
  </si>
  <si>
    <t>2025-01-18</t>
  </si>
  <si>
    <t>SKU42570</t>
  </si>
  <si>
    <t>ORD202500210</t>
  </si>
  <si>
    <t>CUST7955</t>
  </si>
  <si>
    <t>SKU46540</t>
  </si>
  <si>
    <t>ORD202500211</t>
  </si>
  <si>
    <t>CUST8302</t>
  </si>
  <si>
    <t>SKU91514</t>
  </si>
  <si>
    <t>ORD202500212</t>
  </si>
  <si>
    <t>CUST4122</t>
  </si>
  <si>
    <t>SKU43407</t>
  </si>
  <si>
    <t>ORD202500213</t>
  </si>
  <si>
    <t>CUST2676</t>
  </si>
  <si>
    <t>SKU62556</t>
  </si>
  <si>
    <t>ORD202500214</t>
  </si>
  <si>
    <t>CUST9511</t>
  </si>
  <si>
    <t>2025-04-05</t>
  </si>
  <si>
    <t>SKU97001</t>
  </si>
  <si>
    <t>ORD202500215</t>
  </si>
  <si>
    <t>CUST3434</t>
  </si>
  <si>
    <t>2025-10-08</t>
  </si>
  <si>
    <t>SKU97856</t>
  </si>
  <si>
    <t>ORD202500216</t>
  </si>
  <si>
    <t>CUST8859</t>
  </si>
  <si>
    <t>SKU93059</t>
  </si>
  <si>
    <t>ORD202500217</t>
  </si>
  <si>
    <t>CUST5938</t>
  </si>
  <si>
    <t>2025-05-16</t>
  </si>
  <si>
    <t>SKU49850</t>
  </si>
  <si>
    <t>ORD202500218</t>
  </si>
  <si>
    <t>CUST7052</t>
  </si>
  <si>
    <t>2025-01-17</t>
  </si>
  <si>
    <t>SKU56211</t>
  </si>
  <si>
    <t>ORD202500219</t>
  </si>
  <si>
    <t>CUST1456</t>
  </si>
  <si>
    <t>2025-05-23</t>
  </si>
  <si>
    <t>SKU60469</t>
  </si>
  <si>
    <t>ORD202500220</t>
  </si>
  <si>
    <t>CUST4368</t>
  </si>
  <si>
    <t>SKU22650</t>
  </si>
  <si>
    <t>ORD202500221</t>
  </si>
  <si>
    <t>CUST4310</t>
  </si>
  <si>
    <t>2025-05-01</t>
  </si>
  <si>
    <t>SKU21379</t>
  </si>
  <si>
    <t>ORD202500222</t>
  </si>
  <si>
    <t>CUST6034</t>
  </si>
  <si>
    <t>SKU54713</t>
  </si>
  <si>
    <t>ORD202500223</t>
  </si>
  <si>
    <t>CUST6998</t>
  </si>
  <si>
    <t>2025-05-18</t>
  </si>
  <si>
    <t>SKU19720</t>
  </si>
  <si>
    <t>ORD202500224</t>
  </si>
  <si>
    <t>CUST5265</t>
  </si>
  <si>
    <t>SKU97113</t>
  </si>
  <si>
    <t>ORD202500225</t>
  </si>
  <si>
    <t>CUST4119</t>
  </si>
  <si>
    <t>2025-02-01</t>
  </si>
  <si>
    <t>SKU99970</t>
  </si>
  <si>
    <t>ORD202500226</t>
  </si>
  <si>
    <t>CUST1796</t>
  </si>
  <si>
    <t>SKU48053</t>
  </si>
  <si>
    <t>ORD202500227</t>
  </si>
  <si>
    <t>CUST1834</t>
  </si>
  <si>
    <t>2025-11-16</t>
  </si>
  <si>
    <t>SKU89228</t>
  </si>
  <si>
    <t>ORD202500228</t>
  </si>
  <si>
    <t>CUST5164</t>
  </si>
  <si>
    <t>2025-01-08</t>
  </si>
  <si>
    <t>SKU82250</t>
  </si>
  <si>
    <t>ORD202500229</t>
  </si>
  <si>
    <t>CUST6907</t>
  </si>
  <si>
    <t>SKU84432</t>
  </si>
  <si>
    <t>ORD202500230</t>
  </si>
  <si>
    <t>CUST2328</t>
  </si>
  <si>
    <t>SKU98732</t>
  </si>
  <si>
    <t>ORD202500231</t>
  </si>
  <si>
    <t>CUST4500</t>
  </si>
  <si>
    <t>SKU26196</t>
  </si>
  <si>
    <t>ORD202500232</t>
  </si>
  <si>
    <t>CUST5188</t>
  </si>
  <si>
    <t>2025-12-23</t>
  </si>
  <si>
    <t>SKU77214</t>
  </si>
  <si>
    <t>ORD202500233</t>
  </si>
  <si>
    <t>CUST3447</t>
  </si>
  <si>
    <t>SKU55247</t>
  </si>
  <si>
    <t>ORD202500234</t>
  </si>
  <si>
    <t>CUST3433</t>
  </si>
  <si>
    <t>2025-06-27</t>
  </si>
  <si>
    <t>SKU59708</t>
  </si>
  <si>
    <t>ORD202500235</t>
  </si>
  <si>
    <t>CUST1846</t>
  </si>
  <si>
    <t>2025-07-10</t>
  </si>
  <si>
    <t>SKU38954</t>
  </si>
  <si>
    <t>ORD202500236</t>
  </si>
  <si>
    <t>CUST6900</t>
  </si>
  <si>
    <t>SKU50799</t>
  </si>
  <si>
    <t>ORD202500237</t>
  </si>
  <si>
    <t>CUST2052</t>
  </si>
  <si>
    <t>2025-02-15</t>
  </si>
  <si>
    <t>SKU12458</t>
  </si>
  <si>
    <t>ORD202500238</t>
  </si>
  <si>
    <t>CUST1174</t>
  </si>
  <si>
    <t>2025-06-06</t>
  </si>
  <si>
    <t>SKU84057</t>
  </si>
  <si>
    <t>ORD202500239</t>
  </si>
  <si>
    <t>CUST6026</t>
  </si>
  <si>
    <t>SKU40714</t>
  </si>
  <si>
    <t>ORD202500240</t>
  </si>
  <si>
    <t>CUST6045</t>
  </si>
  <si>
    <t>2025-01-03</t>
  </si>
  <si>
    <t>SKU71506</t>
  </si>
  <si>
    <t>ORD202500241</t>
  </si>
  <si>
    <t>CUST4722</t>
  </si>
  <si>
    <t>2025-06-07</t>
  </si>
  <si>
    <t>SKU86124</t>
  </si>
  <si>
    <t>ORD202500242</t>
  </si>
  <si>
    <t>CUST9073</t>
  </si>
  <si>
    <t>2025-08-18</t>
  </si>
  <si>
    <t>SKU77255</t>
  </si>
  <si>
    <t>ORD202500243</t>
  </si>
  <si>
    <t>CUST2872</t>
  </si>
  <si>
    <t>SKU26670</t>
  </si>
  <si>
    <t>ORD202500244</t>
  </si>
  <si>
    <t>CUST2903</t>
  </si>
  <si>
    <t>2025-12-17</t>
  </si>
  <si>
    <t>SKU38397</t>
  </si>
  <si>
    <t>ORD202500245</t>
  </si>
  <si>
    <t>CUST4400</t>
  </si>
  <si>
    <t>2025-10-06</t>
  </si>
  <si>
    <t>SKU88016</t>
  </si>
  <si>
    <t>ORD202500246</t>
  </si>
  <si>
    <t>CUST3266</t>
  </si>
  <si>
    <t>2025-02-13</t>
  </si>
  <si>
    <t>SKU21560</t>
  </si>
  <si>
    <t>ORD202500247</t>
  </si>
  <si>
    <t>CUST6315</t>
  </si>
  <si>
    <t>2025-09-28</t>
  </si>
  <si>
    <t>SKU33849</t>
  </si>
  <si>
    <t>ORD202500248</t>
  </si>
  <si>
    <t>CUST4469</t>
  </si>
  <si>
    <t>SKU51610</t>
  </si>
  <si>
    <t>ORD202500249</t>
  </si>
  <si>
    <t>CUST7019</t>
  </si>
  <si>
    <t>SKU60796</t>
  </si>
  <si>
    <t>ORD202500250</t>
  </si>
  <si>
    <t>CUST9694</t>
  </si>
  <si>
    <t>2025-03-15</t>
  </si>
  <si>
    <t>SKU17767</t>
  </si>
  <si>
    <t>ORD202500251</t>
  </si>
  <si>
    <t>CUST2495</t>
  </si>
  <si>
    <t>SKU79319</t>
  </si>
  <si>
    <t>ORD202500252</t>
  </si>
  <si>
    <t>CUST5067</t>
  </si>
  <si>
    <t>SKU66767</t>
  </si>
  <si>
    <t>ORD202500253</t>
  </si>
  <si>
    <t>CUST2247</t>
  </si>
  <si>
    <t>2025-01-26</t>
  </si>
  <si>
    <t>SKU87216</t>
  </si>
  <si>
    <t>ORD202500254</t>
  </si>
  <si>
    <t>CUST5345</t>
  </si>
  <si>
    <t>SKU55427</t>
  </si>
  <si>
    <t>ORD202500255</t>
  </si>
  <si>
    <t>CUST1965</t>
  </si>
  <si>
    <t>2025-03-09</t>
  </si>
  <si>
    <t>SKU61301</t>
  </si>
  <si>
    <t>ORD202500256</t>
  </si>
  <si>
    <t>CUST8986</t>
  </si>
  <si>
    <t>2025-02-26</t>
  </si>
  <si>
    <t>SKU17779</t>
  </si>
  <si>
    <t>ORD202500257</t>
  </si>
  <si>
    <t>CUST2452</t>
  </si>
  <si>
    <t>SKU41527</t>
  </si>
  <si>
    <t>ORD202500258</t>
  </si>
  <si>
    <t>CUST1934</t>
  </si>
  <si>
    <t>2025-09-19</t>
  </si>
  <si>
    <t>SKU74393</t>
  </si>
  <si>
    <t>ORD202500259</t>
  </si>
  <si>
    <t>CUST6081</t>
  </si>
  <si>
    <t>2025-12-22</t>
  </si>
  <si>
    <t>SKU78143</t>
  </si>
  <si>
    <t>ORD202500260</t>
  </si>
  <si>
    <t>CUST5511</t>
  </si>
  <si>
    <t>2025-11-05</t>
  </si>
  <si>
    <t>SKU25328</t>
  </si>
  <si>
    <t>ORD202500261</t>
  </si>
  <si>
    <t>CUST4929</t>
  </si>
  <si>
    <t>2025-09-27</t>
  </si>
  <si>
    <t>SKU36721</t>
  </si>
  <si>
    <t>ORD202500262</t>
  </si>
  <si>
    <t>CUST6597</t>
  </si>
  <si>
    <t>2025-10-11</t>
  </si>
  <si>
    <t>SKU61500</t>
  </si>
  <si>
    <t>ORD202500263</t>
  </si>
  <si>
    <t>CUST8473</t>
  </si>
  <si>
    <t>2025-08-10</t>
  </si>
  <si>
    <t>SKU73964</t>
  </si>
  <si>
    <t>ORD202500264</t>
  </si>
  <si>
    <t>CUST2514</t>
  </si>
  <si>
    <t>2025-08-23</t>
  </si>
  <si>
    <t>SKU86718</t>
  </si>
  <si>
    <t>ORD202500265</t>
  </si>
  <si>
    <t>CUST7163</t>
  </si>
  <si>
    <t>2025-03-16</t>
  </si>
  <si>
    <t>SKU90735</t>
  </si>
  <si>
    <t>ORD202500266</t>
  </si>
  <si>
    <t>CUST5819</t>
  </si>
  <si>
    <t>2025-08-03</t>
  </si>
  <si>
    <t>SKU70208</t>
  </si>
  <si>
    <t>ORD202500267</t>
  </si>
  <si>
    <t>CUST6621</t>
  </si>
  <si>
    <t>SKU53988</t>
  </si>
  <si>
    <t>ORD202500268</t>
  </si>
  <si>
    <t>CUST8827</t>
  </si>
  <si>
    <t>SKU39239</t>
  </si>
  <si>
    <t>ORD202500269</t>
  </si>
  <si>
    <t>CUST8370</t>
  </si>
  <si>
    <t>SKU63238</t>
  </si>
  <si>
    <t>ORD202500270</t>
  </si>
  <si>
    <t>CUST8920</t>
  </si>
  <si>
    <t>2025-05-22</t>
  </si>
  <si>
    <t>SKU32366</t>
  </si>
  <si>
    <t>ORD202500271</t>
  </si>
  <si>
    <t>CUST4093</t>
  </si>
  <si>
    <t>SKU86991</t>
  </si>
  <si>
    <t>ORD202500272</t>
  </si>
  <si>
    <t>CUST6971</t>
  </si>
  <si>
    <t>2025-10-14</t>
  </si>
  <si>
    <t>SKU34520</t>
  </si>
  <si>
    <t>ORD202500273</t>
  </si>
  <si>
    <t>SKU57343</t>
  </si>
  <si>
    <t>ORD202500274</t>
  </si>
  <si>
    <t>CUST3900</t>
  </si>
  <si>
    <t>SKU11975</t>
  </si>
  <si>
    <t>ORD202500275</t>
  </si>
  <si>
    <t>CUST8709</t>
  </si>
  <si>
    <t>SKU97344</t>
  </si>
  <si>
    <t>ORD202500276</t>
  </si>
  <si>
    <t>CUST3999</t>
  </si>
  <si>
    <t>2025-01-31</t>
  </si>
  <si>
    <t>SKU10015</t>
  </si>
  <si>
    <t>ORD202500277</t>
  </si>
  <si>
    <t>CUST6670</t>
  </si>
  <si>
    <t>SKU76621</t>
  </si>
  <si>
    <t>ORD202500278</t>
  </si>
  <si>
    <t>CUST5111</t>
  </si>
  <si>
    <t>SKU76569</t>
  </si>
  <si>
    <t>ORD202500279</t>
  </si>
  <si>
    <t>CUST4059</t>
  </si>
  <si>
    <t>2025-01-24</t>
  </si>
  <si>
    <t>SKU71443</t>
  </si>
  <si>
    <t>ORD202500280</t>
  </si>
  <si>
    <t>CUST5122</t>
  </si>
  <si>
    <t>SKU16136</t>
  </si>
  <si>
    <t>ORD202500281</t>
  </si>
  <si>
    <t>CUST3861</t>
  </si>
  <si>
    <t>2025-04-16</t>
  </si>
  <si>
    <t>SKU94836</t>
  </si>
  <si>
    <t>ORD202500282</t>
  </si>
  <si>
    <t>CUST8216</t>
  </si>
  <si>
    <t>SKU62511</t>
  </si>
  <si>
    <t>ORD202500283</t>
  </si>
  <si>
    <t>CUST9228</t>
  </si>
  <si>
    <t>SKU66922</t>
  </si>
  <si>
    <t>ORD202500284</t>
  </si>
  <si>
    <t>CUST9939</t>
  </si>
  <si>
    <t>2025-10-18</t>
  </si>
  <si>
    <t>SKU33596</t>
  </si>
  <si>
    <t>ORD202500285</t>
  </si>
  <si>
    <t>CUST8590</t>
  </si>
  <si>
    <t>2025-08-14</t>
  </si>
  <si>
    <t>SKU14621</t>
  </si>
  <si>
    <t>ORD202500286</t>
  </si>
  <si>
    <t>CUST2733</t>
  </si>
  <si>
    <t>2025-09-25</t>
  </si>
  <si>
    <t>SKU71317</t>
  </si>
  <si>
    <t>ORD202500287</t>
  </si>
  <si>
    <t>CUST2768</t>
  </si>
  <si>
    <t>SKU67946</t>
  </si>
  <si>
    <t>ORD202500288</t>
  </si>
  <si>
    <t>SKU90088</t>
  </si>
  <si>
    <t>ORD202500289</t>
  </si>
  <si>
    <t>SKU87188</t>
  </si>
  <si>
    <t>ORD202500290</t>
  </si>
  <si>
    <t>CUST9487</t>
  </si>
  <si>
    <t>SKU80682</t>
  </si>
  <si>
    <t>ORD202500291</t>
  </si>
  <si>
    <t>CUST8573</t>
  </si>
  <si>
    <t>2025-12-13</t>
  </si>
  <si>
    <t>SKU38898</t>
  </si>
  <si>
    <t>ORD202500292</t>
  </si>
  <si>
    <t>CUST8748</t>
  </si>
  <si>
    <t>SKU49756</t>
  </si>
  <si>
    <t>ORD202500293</t>
  </si>
  <si>
    <t>CUST5517</t>
  </si>
  <si>
    <t>SKU64503</t>
  </si>
  <si>
    <t>ORD202500294</t>
  </si>
  <si>
    <t>CUST1880</t>
  </si>
  <si>
    <t>SKU39643</t>
  </si>
  <si>
    <t>ORD202500295</t>
  </si>
  <si>
    <t>CUST4748</t>
  </si>
  <si>
    <t>2025-11-02</t>
  </si>
  <si>
    <t>SKU57472</t>
  </si>
  <si>
    <t>ORD202500296</t>
  </si>
  <si>
    <t>CUST2904</t>
  </si>
  <si>
    <t>SKU48681</t>
  </si>
  <si>
    <t>ORD202500297</t>
  </si>
  <si>
    <t>CUST1968</t>
  </si>
  <si>
    <t>2025-11-22</t>
  </si>
  <si>
    <t>SKU89999</t>
  </si>
  <si>
    <t>ORD202500298</t>
  </si>
  <si>
    <t>CUST7699</t>
  </si>
  <si>
    <t>SKU94855</t>
  </si>
  <si>
    <t>ORD202500299</t>
  </si>
  <si>
    <t>CUST7625</t>
  </si>
  <si>
    <t>2025-06-14</t>
  </si>
  <si>
    <t>SKU18449</t>
  </si>
  <si>
    <t>ORD202500300</t>
  </si>
  <si>
    <t>CUST4298</t>
  </si>
  <si>
    <t>2025-01-01</t>
  </si>
  <si>
    <t>SKU82134</t>
  </si>
  <si>
    <t>ORD202500301</t>
  </si>
  <si>
    <t>CUST7154</t>
  </si>
  <si>
    <t>SKU56087</t>
  </si>
  <si>
    <t>ORD202500302</t>
  </si>
  <si>
    <t>CUST5023</t>
  </si>
  <si>
    <t>SKU68355</t>
  </si>
  <si>
    <t>ORD202500303</t>
  </si>
  <si>
    <t>CUST2338</t>
  </si>
  <si>
    <t>2025-12-01</t>
  </si>
  <si>
    <t>SKU24260</t>
  </si>
  <si>
    <t>ORD202500304</t>
  </si>
  <si>
    <t>CUST1255</t>
  </si>
  <si>
    <t>2025-03-02</t>
  </si>
  <si>
    <t>SKU59751</t>
  </si>
  <si>
    <t>ORD202500305</t>
  </si>
  <si>
    <t>CUST5118</t>
  </si>
  <si>
    <t>SKU91245</t>
  </si>
  <si>
    <t>ORD202500306</t>
  </si>
  <si>
    <t>2025-11-09</t>
  </si>
  <si>
    <t>SKU58708</t>
  </si>
  <si>
    <t>ORD202500307</t>
  </si>
  <si>
    <t>CUST2556</t>
  </si>
  <si>
    <t>SKU40794</t>
  </si>
  <si>
    <t>ORD202500308</t>
  </si>
  <si>
    <t>CUST2779</t>
  </si>
  <si>
    <t>SKU95547</t>
  </si>
  <si>
    <t>ORD202500309</t>
  </si>
  <si>
    <t>CUST9845</t>
  </si>
  <si>
    <t>SKU37296</t>
  </si>
  <si>
    <t>ORD202500310</t>
  </si>
  <si>
    <t>CUST6059</t>
  </si>
  <si>
    <t>SKU98509</t>
  </si>
  <si>
    <t>ORD202500311</t>
  </si>
  <si>
    <t>CUST2131</t>
  </si>
  <si>
    <t>SKU62902</t>
  </si>
  <si>
    <t>ORD202500312</t>
  </si>
  <si>
    <t>CUST3449</t>
  </si>
  <si>
    <t>SKU53070</t>
  </si>
  <si>
    <t>ORD202500313</t>
  </si>
  <si>
    <t>CUST2968</t>
  </si>
  <si>
    <t>SKU31857</t>
  </si>
  <si>
    <t>ORD202500314</t>
  </si>
  <si>
    <t>CUST9863</t>
  </si>
  <si>
    <t>2025-11-24</t>
  </si>
  <si>
    <t>SKU29990</t>
  </si>
  <si>
    <t>ORD202500315</t>
  </si>
  <si>
    <t>CUST2840</t>
  </si>
  <si>
    <t>2025-02-23</t>
  </si>
  <si>
    <t>SKU43726</t>
  </si>
  <si>
    <t>ORD202500316</t>
  </si>
  <si>
    <t>CUST6709</t>
  </si>
  <si>
    <t>2025-12-14</t>
  </si>
  <si>
    <t>SKU62236</t>
  </si>
  <si>
    <t>ORD202500317</t>
  </si>
  <si>
    <t>CUST6522</t>
  </si>
  <si>
    <t>2025-11-28</t>
  </si>
  <si>
    <t>SKU25956</t>
  </si>
  <si>
    <t>ORD202500318</t>
  </si>
  <si>
    <t>CUST7769</t>
  </si>
  <si>
    <t>SKU38578</t>
  </si>
  <si>
    <t>ORD202500319</t>
  </si>
  <si>
    <t>CUST1475</t>
  </si>
  <si>
    <t>SKU15929</t>
  </si>
  <si>
    <t>ORD202500320</t>
  </si>
  <si>
    <t>CUST6539</t>
  </si>
  <si>
    <t>SKU52878</t>
  </si>
  <si>
    <t>ORD202500321</t>
  </si>
  <si>
    <t>CUST2006</t>
  </si>
  <si>
    <t>SKU63351</t>
  </si>
  <si>
    <t>ORD202500322</t>
  </si>
  <si>
    <t>CUST3440</t>
  </si>
  <si>
    <t>2025-06-16</t>
  </si>
  <si>
    <t>SKU33868</t>
  </si>
  <si>
    <t>ORD202500323</t>
  </si>
  <si>
    <t>CUST2121</t>
  </si>
  <si>
    <t>2025-11-11</t>
  </si>
  <si>
    <t>SKU39035</t>
  </si>
  <si>
    <t>ORD202500324</t>
  </si>
  <si>
    <t>CUST6637</t>
  </si>
  <si>
    <t>SKU50543</t>
  </si>
  <si>
    <t>ORD202500325</t>
  </si>
  <si>
    <t>CUST8086</t>
  </si>
  <si>
    <t>2025-04-09</t>
  </si>
  <si>
    <t>SKU38886</t>
  </si>
  <si>
    <t>ORD202500326</t>
  </si>
  <si>
    <t>CUST1914</t>
  </si>
  <si>
    <t>2025-09-17</t>
  </si>
  <si>
    <t>SKU10569</t>
  </si>
  <si>
    <t>ORD202500327</t>
  </si>
  <si>
    <t>CUST4997</t>
  </si>
  <si>
    <t>SKU94011</t>
  </si>
  <si>
    <t>ORD202500328</t>
  </si>
  <si>
    <t>CUST4373</t>
  </si>
  <si>
    <t>SKU41375</t>
  </si>
  <si>
    <t>ORD202500329</t>
  </si>
  <si>
    <t>CUST6407</t>
  </si>
  <si>
    <t>SKU71040</t>
  </si>
  <si>
    <t>ORD202500330</t>
  </si>
  <si>
    <t>CUST7050</t>
  </si>
  <si>
    <t>2025-04-18</t>
  </si>
  <si>
    <t>SKU45628</t>
  </si>
  <si>
    <t>ORD202500331</t>
  </si>
  <si>
    <t>CUST3428</t>
  </si>
  <si>
    <t>SKU82844</t>
  </si>
  <si>
    <t>ORD202500332</t>
  </si>
  <si>
    <t>CUST8165</t>
  </si>
  <si>
    <t>SKU91856</t>
  </si>
  <si>
    <t>ORD202500333</t>
  </si>
  <si>
    <t>CUST2153</t>
  </si>
  <si>
    <t>SKU33212</t>
  </si>
  <si>
    <t>ORD202500334</t>
  </si>
  <si>
    <t>CUST3380</t>
  </si>
  <si>
    <t>SKU97031</t>
  </si>
  <si>
    <t>ORD202500335</t>
  </si>
  <si>
    <t>CUST9715</t>
  </si>
  <si>
    <t>SKU63148</t>
  </si>
  <si>
    <t>ORD202500336</t>
  </si>
  <si>
    <t>CUST5970</t>
  </si>
  <si>
    <t>2025-10-04</t>
  </si>
  <si>
    <t>SKU61409</t>
  </si>
  <si>
    <t>ORD202500337</t>
  </si>
  <si>
    <t>CUST6461</t>
  </si>
  <si>
    <t>2025-02-09</t>
  </si>
  <si>
    <t>SKU25231</t>
  </si>
  <si>
    <t>ORD202500338</t>
  </si>
  <si>
    <t>CUST6080</t>
  </si>
  <si>
    <t>SKU90763</t>
  </si>
  <si>
    <t>ORD202500339</t>
  </si>
  <si>
    <t>CUST3157</t>
  </si>
  <si>
    <t>SKU22773</t>
  </si>
  <si>
    <t>ORD202500340</t>
  </si>
  <si>
    <t>CUST9352</t>
  </si>
  <si>
    <t>SKU34288</t>
  </si>
  <si>
    <t>ORD202500341</t>
  </si>
  <si>
    <t>CUST1153</t>
  </si>
  <si>
    <t>SKU67908</t>
  </si>
  <si>
    <t>ORD202500342</t>
  </si>
  <si>
    <t>CUST5816</t>
  </si>
  <si>
    <t>SKU47678</t>
  </si>
  <si>
    <t>ORD202500343</t>
  </si>
  <si>
    <t>CUST2807</t>
  </si>
  <si>
    <t>2025-01-30</t>
  </si>
  <si>
    <t>SKU69541</t>
  </si>
  <si>
    <t>ORD202500344</t>
  </si>
  <si>
    <t>CUST2812</t>
  </si>
  <si>
    <t>SKU62044</t>
  </si>
  <si>
    <t>ORD202500345</t>
  </si>
  <si>
    <t>CUST9140</t>
  </si>
  <si>
    <t>2025-02-22</t>
  </si>
  <si>
    <t>SKU81638</t>
  </si>
  <si>
    <t>ORD202500346</t>
  </si>
  <si>
    <t>CUST6389</t>
  </si>
  <si>
    <t>SKU64786</t>
  </si>
  <si>
    <t>ORD202500347</t>
  </si>
  <si>
    <t>CUST3544</t>
  </si>
  <si>
    <t>SKU92511</t>
  </si>
  <si>
    <t>ORD202500348</t>
  </si>
  <si>
    <t>CUST9128</t>
  </si>
  <si>
    <t>SKU97619</t>
  </si>
  <si>
    <t>ORD202500349</t>
  </si>
  <si>
    <t>CUST3855</t>
  </si>
  <si>
    <t>2025-07-26</t>
  </si>
  <si>
    <t>SKU89034</t>
  </si>
  <si>
    <t>ORD202500350</t>
  </si>
  <si>
    <t>CUST2474</t>
  </si>
  <si>
    <t>2025-02-16</t>
  </si>
  <si>
    <t>SKU55475</t>
  </si>
  <si>
    <t>ORD202500351</t>
  </si>
  <si>
    <t>CUST6978</t>
  </si>
  <si>
    <t>SKU97811</t>
  </si>
  <si>
    <t>ORD202500352</t>
  </si>
  <si>
    <t>CUST5582</t>
  </si>
  <si>
    <t>2025-09-16</t>
  </si>
  <si>
    <t>SKU10312</t>
  </si>
  <si>
    <t>ORD202500353</t>
  </si>
  <si>
    <t>CUST1354</t>
  </si>
  <si>
    <t>2025-11-27</t>
  </si>
  <si>
    <t>SKU42770</t>
  </si>
  <si>
    <t>ORD202500354</t>
  </si>
  <si>
    <t>CUST7799</t>
  </si>
  <si>
    <t>SKU23840</t>
  </si>
  <si>
    <t>ORD202500355</t>
  </si>
  <si>
    <t>CUST4316</t>
  </si>
  <si>
    <t>2025-05-04</t>
  </si>
  <si>
    <t>SKU13639</t>
  </si>
  <si>
    <t>ORD202500356</t>
  </si>
  <si>
    <t>CUST8196</t>
  </si>
  <si>
    <t>SKU72559</t>
  </si>
  <si>
    <t>ORD202500357</t>
  </si>
  <si>
    <t>CUST9259</t>
  </si>
  <si>
    <t>2025-04-07</t>
  </si>
  <si>
    <t>SKU35358</t>
  </si>
  <si>
    <t>ORD202500358</t>
  </si>
  <si>
    <t>CUST7618</t>
  </si>
  <si>
    <t>2025-02-24</t>
  </si>
  <si>
    <t>SKU59936</t>
  </si>
  <si>
    <t>ORD202500359</t>
  </si>
  <si>
    <t>CUST4399</t>
  </si>
  <si>
    <t>2025-12-06</t>
  </si>
  <si>
    <t>SKU51017</t>
  </si>
  <si>
    <t>ORD202500360</t>
  </si>
  <si>
    <t>CUST1424</t>
  </si>
  <si>
    <t>2025-02-10</t>
  </si>
  <si>
    <t>SKU37558</t>
  </si>
  <si>
    <t>ORD202500361</t>
  </si>
  <si>
    <t>CUST2900</t>
  </si>
  <si>
    <t>2025-01-29</t>
  </si>
  <si>
    <t>SKU10762</t>
  </si>
  <si>
    <t>ORD202500362</t>
  </si>
  <si>
    <t>CUST5322</t>
  </si>
  <si>
    <t>SKU57839</t>
  </si>
  <si>
    <t>ORD202500363</t>
  </si>
  <si>
    <t>CUST2604</t>
  </si>
  <si>
    <t>SKU73802</t>
  </si>
  <si>
    <t>ORD202500364</t>
  </si>
  <si>
    <t>CUST6284</t>
  </si>
  <si>
    <t>SKU72039</t>
  </si>
  <si>
    <t>ORD202500365</t>
  </si>
  <si>
    <t>CUST5999</t>
  </si>
  <si>
    <t>2025-08-08</t>
  </si>
  <si>
    <t>ORD202500366</t>
  </si>
  <si>
    <t>CUST3823</t>
  </si>
  <si>
    <t>2025-03-22</t>
  </si>
  <si>
    <t>SKU43121</t>
  </si>
  <si>
    <t>ORD202500367</t>
  </si>
  <si>
    <t>CUST3288</t>
  </si>
  <si>
    <t>2025-04-26</t>
  </si>
  <si>
    <t>SKU95521</t>
  </si>
  <si>
    <t>ORD202500368</t>
  </si>
  <si>
    <t>CUST2826</t>
  </si>
  <si>
    <t>SKU37603</t>
  </si>
  <si>
    <t>ORD202500369</t>
  </si>
  <si>
    <t>CUST2561</t>
  </si>
  <si>
    <t>2025-04-27</t>
  </si>
  <si>
    <t>SKU46016</t>
  </si>
  <si>
    <t>ORD202500370</t>
  </si>
  <si>
    <t>CUST9349</t>
  </si>
  <si>
    <t>SKU70798</t>
  </si>
  <si>
    <t>ORD202500371</t>
  </si>
  <si>
    <t>CUST4509</t>
  </si>
  <si>
    <t>SKU70028</t>
  </si>
  <si>
    <t>ORD202500372</t>
  </si>
  <si>
    <t>CUST2635</t>
  </si>
  <si>
    <t>SKU93310</t>
  </si>
  <si>
    <t>ORD202500373</t>
  </si>
  <si>
    <t>CUST3250</t>
  </si>
  <si>
    <t>2025-11-12</t>
  </si>
  <si>
    <t>SKU91881</t>
  </si>
  <si>
    <t>ORD202500374</t>
  </si>
  <si>
    <t>CUST3232</t>
  </si>
  <si>
    <t>SKU76118</t>
  </si>
  <si>
    <t>ORD202500375</t>
  </si>
  <si>
    <t>CUST9563</t>
  </si>
  <si>
    <t>SKU53385</t>
  </si>
  <si>
    <t>ORD202500376</t>
  </si>
  <si>
    <t>CUST8588</t>
  </si>
  <si>
    <t>2025-10-20</t>
  </si>
  <si>
    <t>SKU28961</t>
  </si>
  <si>
    <t>ORD202500377</t>
  </si>
  <si>
    <t>CUST1391</t>
  </si>
  <si>
    <t>SKU94250</t>
  </si>
  <si>
    <t>ORD202500378</t>
  </si>
  <si>
    <t>CUST5494</t>
  </si>
  <si>
    <t>2025-10-16</t>
  </si>
  <si>
    <t>SKU39391</t>
  </si>
  <si>
    <t>ORD202500379</t>
  </si>
  <si>
    <t>CUST3487</t>
  </si>
  <si>
    <t>SKU78031</t>
  </si>
  <si>
    <t>ORD202500380</t>
  </si>
  <si>
    <t>CUST2891</t>
  </si>
  <si>
    <t>2025-07-09</t>
  </si>
  <si>
    <t>SKU86459</t>
  </si>
  <si>
    <t>ORD202500381</t>
  </si>
  <si>
    <t>CUST2069</t>
  </si>
  <si>
    <t>SKU97922</t>
  </si>
  <si>
    <t>ORD202500382</t>
  </si>
  <si>
    <t>CUST6830</t>
  </si>
  <si>
    <t>SKU56414</t>
  </si>
  <si>
    <t>ORD202500383</t>
  </si>
  <si>
    <t>CUST9394</t>
  </si>
  <si>
    <t>SKU64019</t>
  </si>
  <si>
    <t>ORD202500384</t>
  </si>
  <si>
    <t>CUST8533</t>
  </si>
  <si>
    <t>SKU89391</t>
  </si>
  <si>
    <t>ORD202500385</t>
  </si>
  <si>
    <t>CUST8615</t>
  </si>
  <si>
    <t>SKU36556</t>
  </si>
  <si>
    <t>ORD202500386</t>
  </si>
  <si>
    <t>CUST1077</t>
  </si>
  <si>
    <t>2025-07-28</t>
  </si>
  <si>
    <t>SKU33550</t>
  </si>
  <si>
    <t>ORD202500387</t>
  </si>
  <si>
    <t>CUST4924</t>
  </si>
  <si>
    <t>SKU38709</t>
  </si>
  <si>
    <t>ORD202500388</t>
  </si>
  <si>
    <t>CUST1292</t>
  </si>
  <si>
    <t>SKU46355</t>
  </si>
  <si>
    <t>ORD202500389</t>
  </si>
  <si>
    <t>CUST2051</t>
  </si>
  <si>
    <t>2025-12-27</t>
  </si>
  <si>
    <t>SKU22703</t>
  </si>
  <si>
    <t>ORD202500390</t>
  </si>
  <si>
    <t>CUST4386</t>
  </si>
  <si>
    <t>SKU78767</t>
  </si>
  <si>
    <t>ORD202500391</t>
  </si>
  <si>
    <t>SKU58175</t>
  </si>
  <si>
    <t>ORD202500392</t>
  </si>
  <si>
    <t>CUST3105</t>
  </si>
  <si>
    <t>2025-07-11</t>
  </si>
  <si>
    <t>SKU37013</t>
  </si>
  <si>
    <t>ORD202500393</t>
  </si>
  <si>
    <t>CUST2467</t>
  </si>
  <si>
    <t>SKU29374</t>
  </si>
  <si>
    <t>ORD202500394</t>
  </si>
  <si>
    <t>CUST9154</t>
  </si>
  <si>
    <t>2025-03-03</t>
  </si>
  <si>
    <t>SKU49450</t>
  </si>
  <si>
    <t>ORD202500395</t>
  </si>
  <si>
    <t>CUST7619</t>
  </si>
  <si>
    <t>2025-06-01</t>
  </si>
  <si>
    <t>SKU25704</t>
  </si>
  <si>
    <t>ORD202500396</t>
  </si>
  <si>
    <t>SKU51331</t>
  </si>
  <si>
    <t>ORD202500397</t>
  </si>
  <si>
    <t>CUST9780</t>
  </si>
  <si>
    <t>SKU69132</t>
  </si>
  <si>
    <t>ORD202500398</t>
  </si>
  <si>
    <t>CUST8072</t>
  </si>
  <si>
    <t>SKU36323</t>
  </si>
  <si>
    <t>ORD202500399</t>
  </si>
  <si>
    <t>CUST1352</t>
  </si>
  <si>
    <t>SKU86706</t>
  </si>
  <si>
    <t>ORD202500400</t>
  </si>
  <si>
    <t>SKU70550</t>
  </si>
  <si>
    <t>ORD202500401</t>
  </si>
  <si>
    <t>CUST5272</t>
  </si>
  <si>
    <t>SKU17583</t>
  </si>
  <si>
    <t>ORD202500402</t>
  </si>
  <si>
    <t>CUST1752</t>
  </si>
  <si>
    <t>SKU12587</t>
  </si>
  <si>
    <t>ORD202500403</t>
  </si>
  <si>
    <t>CUST8332</t>
  </si>
  <si>
    <t>SKU19660</t>
  </si>
  <si>
    <t>ORD202500404</t>
  </si>
  <si>
    <t>CUST2479</t>
  </si>
  <si>
    <t>2025-08-11</t>
  </si>
  <si>
    <t>SKU76720</t>
  </si>
  <si>
    <t>ORD202500405</t>
  </si>
  <si>
    <t>CUST8706</t>
  </si>
  <si>
    <t>SKU38268</t>
  </si>
  <si>
    <t>ORD202500406</t>
  </si>
  <si>
    <t>CUST8314</t>
  </si>
  <si>
    <t>SKU27671</t>
  </si>
  <si>
    <t>ORD202500407</t>
  </si>
  <si>
    <t>CUST1893</t>
  </si>
  <si>
    <t>SKU73989</t>
  </si>
  <si>
    <t>ORD202500408</t>
  </si>
  <si>
    <t>CUST2785</t>
  </si>
  <si>
    <t>SKU32967</t>
  </si>
  <si>
    <t>ORD202500409</t>
  </si>
  <si>
    <t>CUST6615</t>
  </si>
  <si>
    <t>SKU29327</t>
  </si>
  <si>
    <t>ORD202500410</t>
  </si>
  <si>
    <t>CUST7462</t>
  </si>
  <si>
    <t>SKU32090</t>
  </si>
  <si>
    <t>ORD202500411</t>
  </si>
  <si>
    <t>CUST9287</t>
  </si>
  <si>
    <t>SKU67569</t>
  </si>
  <si>
    <t>ORD202500412</t>
  </si>
  <si>
    <t>CUST6363</t>
  </si>
  <si>
    <t>2025-06-17</t>
  </si>
  <si>
    <t>SKU33261</t>
  </si>
  <si>
    <t>ORD202500413</t>
  </si>
  <si>
    <t>CUST1396</t>
  </si>
  <si>
    <t>SKU34393</t>
  </si>
  <si>
    <t>ORD202500414</t>
  </si>
  <si>
    <t>CUST5398</t>
  </si>
  <si>
    <t>2025-12-04</t>
  </si>
  <si>
    <t>SKU80633</t>
  </si>
  <si>
    <t>ORD202500415</t>
  </si>
  <si>
    <t>CUST4910</t>
  </si>
  <si>
    <t>SKU47023</t>
  </si>
  <si>
    <t>ORD202500416</t>
  </si>
  <si>
    <t>CUST6875</t>
  </si>
  <si>
    <t>SKU63432</t>
  </si>
  <si>
    <t>ORD202500417</t>
  </si>
  <si>
    <t>CUST1135</t>
  </si>
  <si>
    <t>SKU89506</t>
  </si>
  <si>
    <t>ORD202500418</t>
  </si>
  <si>
    <t>CUST5190</t>
  </si>
  <si>
    <t>SKU91087</t>
  </si>
  <si>
    <t>ORD202500419</t>
  </si>
  <si>
    <t>CUST6188</t>
  </si>
  <si>
    <t>2025-08-22</t>
  </si>
  <si>
    <t>SKU34210</t>
  </si>
  <si>
    <t>ORD202500420</t>
  </si>
  <si>
    <t>CUST8428</t>
  </si>
  <si>
    <t>SKU11275</t>
  </si>
  <si>
    <t>ORD202500421</t>
  </si>
  <si>
    <t>CUST7917</t>
  </si>
  <si>
    <t>SKU32369</t>
  </si>
  <si>
    <t>ORD202500422</t>
  </si>
  <si>
    <t>CUST9428</t>
  </si>
  <si>
    <t>SKU19878</t>
  </si>
  <si>
    <t>ORD202500423</t>
  </si>
  <si>
    <t>CUST8188</t>
  </si>
  <si>
    <t>2025-09-01</t>
  </si>
  <si>
    <t>SKU69192</t>
  </si>
  <si>
    <t>ORD202500424</t>
  </si>
  <si>
    <t>CUST6292</t>
  </si>
  <si>
    <t>SKU66407</t>
  </si>
  <si>
    <t>ORD202500425</t>
  </si>
  <si>
    <t>CUST3554</t>
  </si>
  <si>
    <t>2025-09-23</t>
  </si>
  <si>
    <t>SKU27001</t>
  </si>
  <si>
    <t>ORD202500426</t>
  </si>
  <si>
    <t>CUST3295</t>
  </si>
  <si>
    <t>SKU85301</t>
  </si>
  <si>
    <t>ORD202500427</t>
  </si>
  <si>
    <t>CUST4333</t>
  </si>
  <si>
    <t>SKU55093</t>
  </si>
  <si>
    <t>ORD202500428</t>
  </si>
  <si>
    <t>CUST5442</t>
  </si>
  <si>
    <t>2025-05-12</t>
  </si>
  <si>
    <t>SKU24541</t>
  </si>
  <si>
    <t>ORD202500429</t>
  </si>
  <si>
    <t>CUST1451</t>
  </si>
  <si>
    <t>2025-03-17</t>
  </si>
  <si>
    <t>SKU39649</t>
  </si>
  <si>
    <t>ORD202500430</t>
  </si>
  <si>
    <t>CUST2490</t>
  </si>
  <si>
    <t>SKU84948</t>
  </si>
  <si>
    <t>ORD202500431</t>
  </si>
  <si>
    <t>CUST4699</t>
  </si>
  <si>
    <t>2025-07-16</t>
  </si>
  <si>
    <t>SKU68868</t>
  </si>
  <si>
    <t>ORD202500432</t>
  </si>
  <si>
    <t>CUST9409</t>
  </si>
  <si>
    <t>2025-12-25</t>
  </si>
  <si>
    <t>SKU59886</t>
  </si>
  <si>
    <t>ORD202500433</t>
  </si>
  <si>
    <t>CUST9330</t>
  </si>
  <si>
    <t>SKU47012</t>
  </si>
  <si>
    <t>ORD202500434</t>
  </si>
  <si>
    <t>CUST8328</t>
  </si>
  <si>
    <t>SKU77982</t>
  </si>
  <si>
    <t>ORD202500435</t>
  </si>
  <si>
    <t>CUST1918</t>
  </si>
  <si>
    <t>SKU20998</t>
  </si>
  <si>
    <t>ORD202500436</t>
  </si>
  <si>
    <t>CUST3204</t>
  </si>
  <si>
    <t>2025-05-03</t>
  </si>
  <si>
    <t>SKU67384</t>
  </si>
  <si>
    <t>ORD202500437</t>
  </si>
  <si>
    <t>CUST8846</t>
  </si>
  <si>
    <t>SKU21733</t>
  </si>
  <si>
    <t>ORD202500438</t>
  </si>
  <si>
    <t>SKU72001</t>
  </si>
  <si>
    <t>ORD202500439</t>
  </si>
  <si>
    <t>CUST9437</t>
  </si>
  <si>
    <t>SKU13802</t>
  </si>
  <si>
    <t>ORD202500440</t>
  </si>
  <si>
    <t>CUST6276</t>
  </si>
  <si>
    <t>2025-04-28</t>
  </si>
  <si>
    <t>SKU12143</t>
  </si>
  <si>
    <t>ORD202500441</t>
  </si>
  <si>
    <t>CUST9310</t>
  </si>
  <si>
    <t>SKU32342</t>
  </si>
  <si>
    <t>ORD202500442</t>
  </si>
  <si>
    <t>CUST5227</t>
  </si>
  <si>
    <t>2025-01-28</t>
  </si>
  <si>
    <t>SKU72432</t>
  </si>
  <si>
    <t>ORD202500443</t>
  </si>
  <si>
    <t>CUST7486</t>
  </si>
  <si>
    <t>SKU35529</t>
  </si>
  <si>
    <t>ORD202500444</t>
  </si>
  <si>
    <t>CUST6166</t>
  </si>
  <si>
    <t>SKU94852</t>
  </si>
  <si>
    <t>ORD202500445</t>
  </si>
  <si>
    <t>2025-02-18</t>
  </si>
  <si>
    <t>SKU26900</t>
  </si>
  <si>
    <t>ORD202500446</t>
  </si>
  <si>
    <t>CUST2702</t>
  </si>
  <si>
    <t>2025-03-26</t>
  </si>
  <si>
    <t>SKU68508</t>
  </si>
  <si>
    <t>ORD202500447</t>
  </si>
  <si>
    <t>CUST4779</t>
  </si>
  <si>
    <t>2025-09-14</t>
  </si>
  <si>
    <t>SKU45252</t>
  </si>
  <si>
    <t>ORD202500448</t>
  </si>
  <si>
    <t>CUST1132</t>
  </si>
  <si>
    <t>SKU83644</t>
  </si>
  <si>
    <t>ORD202500449</t>
  </si>
  <si>
    <t>CUST8320</t>
  </si>
  <si>
    <t>2025-09-29</t>
  </si>
  <si>
    <t>SKU64413</t>
  </si>
  <si>
    <t>ORD202500450</t>
  </si>
  <si>
    <t>SKU11237</t>
  </si>
  <si>
    <t>ORD202500451</t>
  </si>
  <si>
    <t>CUST5645</t>
  </si>
  <si>
    <t>SKU98267</t>
  </si>
  <si>
    <t>ORD202500452</t>
  </si>
  <si>
    <t>CUST1782</t>
  </si>
  <si>
    <t>SKU68547</t>
  </si>
  <si>
    <t>ORD202500453</t>
  </si>
  <si>
    <t>CUST7750</t>
  </si>
  <si>
    <t>SKU95436</t>
  </si>
  <si>
    <t>ORD202500454</t>
  </si>
  <si>
    <t>CUST3239</t>
  </si>
  <si>
    <t>SKU92197</t>
  </si>
  <si>
    <t>ORD202500455</t>
  </si>
  <si>
    <t>CUST4771</t>
  </si>
  <si>
    <t>SKU38741</t>
  </si>
  <si>
    <t>ORD202500456</t>
  </si>
  <si>
    <t>CUST4738</t>
  </si>
  <si>
    <t>2025-12-21</t>
  </si>
  <si>
    <t>SKU37675</t>
  </si>
  <si>
    <t>ORD202500457</t>
  </si>
  <si>
    <t>CUST5734</t>
  </si>
  <si>
    <t>SKU24508</t>
  </si>
  <si>
    <t>ORD202500458</t>
  </si>
  <si>
    <t>CUST4916</t>
  </si>
  <si>
    <t>SKU25139</t>
  </si>
  <si>
    <t>ORD202500459</t>
  </si>
  <si>
    <t>CUST3147</t>
  </si>
  <si>
    <t>2025-01-04</t>
  </si>
  <si>
    <t>SKU77891</t>
  </si>
  <si>
    <t>ORD202500460</t>
  </si>
  <si>
    <t>CUST1670</t>
  </si>
  <si>
    <t>SKU20284</t>
  </si>
  <si>
    <t>ORD202500461</t>
  </si>
  <si>
    <t>CUST6795</t>
  </si>
  <si>
    <t>SKU51703</t>
  </si>
  <si>
    <t>ORD202500462</t>
  </si>
  <si>
    <t>CUST5401</t>
  </si>
  <si>
    <t>2025-07-04</t>
  </si>
  <si>
    <t>SKU12273</t>
  </si>
  <si>
    <t>ORD202500463</t>
  </si>
  <si>
    <t>CUST3491</t>
  </si>
  <si>
    <t>2025-03-05</t>
  </si>
  <si>
    <t>SKU12390</t>
  </si>
  <si>
    <t>ORD202500464</t>
  </si>
  <si>
    <t>CUST1671</t>
  </si>
  <si>
    <t>SKU17176</t>
  </si>
  <si>
    <t>ORD202500465</t>
  </si>
  <si>
    <t>CUST2692</t>
  </si>
  <si>
    <t>SKU60476</t>
  </si>
  <si>
    <t>ORD202500466</t>
  </si>
  <si>
    <t>CUST2934</t>
  </si>
  <si>
    <t>SKU67124</t>
  </si>
  <si>
    <t>ORD202500467</t>
  </si>
  <si>
    <t>CUST9827</t>
  </si>
  <si>
    <t>SKU30959</t>
  </si>
  <si>
    <t>ORD202500468</t>
  </si>
  <si>
    <t>CUST4415</t>
  </si>
  <si>
    <t>SKU34687</t>
  </si>
  <si>
    <t>ORD202500469</t>
  </si>
  <si>
    <t>CUST2144</t>
  </si>
  <si>
    <t>SKU54623</t>
  </si>
  <si>
    <t>ORD202500470</t>
  </si>
  <si>
    <t>CUST4842</t>
  </si>
  <si>
    <t>2025-11-25</t>
  </si>
  <si>
    <t>SKU48119</t>
  </si>
  <si>
    <t>ORD202500471</t>
  </si>
  <si>
    <t>CUST4391</t>
  </si>
  <si>
    <t>SKU69666</t>
  </si>
  <si>
    <t>ORD202500472</t>
  </si>
  <si>
    <t>CUST1528</t>
  </si>
  <si>
    <t>SKU34916</t>
  </si>
  <si>
    <t>ORD202500473</t>
  </si>
  <si>
    <t>CUST3437</t>
  </si>
  <si>
    <t>SKU15730</t>
  </si>
  <si>
    <t>ORD202500474</t>
  </si>
  <si>
    <t>CUST2589</t>
  </si>
  <si>
    <t>2025-01-06</t>
  </si>
  <si>
    <t>SKU95372</t>
  </si>
  <si>
    <t>ORD202500475</t>
  </si>
  <si>
    <t>CUST5344</t>
  </si>
  <si>
    <t>SKU73099</t>
  </si>
  <si>
    <t>ORD202500476</t>
  </si>
  <si>
    <t>CUST7527</t>
  </si>
  <si>
    <t>SKU30056</t>
  </si>
  <si>
    <t>ORD202500477</t>
  </si>
  <si>
    <t>SKU15769</t>
  </si>
  <si>
    <t>ORD202500478</t>
  </si>
  <si>
    <t>CUST2833</t>
  </si>
  <si>
    <t>SKU20967</t>
  </si>
  <si>
    <t>ORD202500479</t>
  </si>
  <si>
    <t>CUST9299</t>
  </si>
  <si>
    <t>SKU40531</t>
  </si>
  <si>
    <t>ORD202500480</t>
  </si>
  <si>
    <t>CUST9665</t>
  </si>
  <si>
    <t>SKU68795</t>
  </si>
  <si>
    <t>ORD202500481</t>
  </si>
  <si>
    <t>CUST7511</t>
  </si>
  <si>
    <t>SKU84458</t>
  </si>
  <si>
    <t>ORD202500482</t>
  </si>
  <si>
    <t>CUST7999</t>
  </si>
  <si>
    <t>SKU34590</t>
  </si>
  <si>
    <t>ORD202500483</t>
  </si>
  <si>
    <t>CUST3791</t>
  </si>
  <si>
    <t>SKU66228</t>
  </si>
  <si>
    <t>ORD202500484</t>
  </si>
  <si>
    <t>CUST7817</t>
  </si>
  <si>
    <t>SKU71356</t>
  </si>
  <si>
    <t>ORD202500485</t>
  </si>
  <si>
    <t>CUST6384</t>
  </si>
  <si>
    <t>2025-01-05</t>
  </si>
  <si>
    <t>SKU54327</t>
  </si>
  <si>
    <t>ORD202500486</t>
  </si>
  <si>
    <t>CUST9157</t>
  </si>
  <si>
    <t>SKU56815</t>
  </si>
  <si>
    <t>ORD202500487</t>
  </si>
  <si>
    <t>CUST2022</t>
  </si>
  <si>
    <t>SKU67213</t>
  </si>
  <si>
    <t>ORD202500488</t>
  </si>
  <si>
    <t>CUST9736</t>
  </si>
  <si>
    <t>SKU70250</t>
  </si>
  <si>
    <t>ORD202500489</t>
  </si>
  <si>
    <t>CUST7713</t>
  </si>
  <si>
    <t>SKU16029</t>
  </si>
  <si>
    <t>ORD202500490</t>
  </si>
  <si>
    <t>CUST3366</t>
  </si>
  <si>
    <t>2025-10-29</t>
  </si>
  <si>
    <t>SKU33895</t>
  </si>
  <si>
    <t>ORD202500491</t>
  </si>
  <si>
    <t>CUST9152</t>
  </si>
  <si>
    <t>SKU74511</t>
  </si>
  <si>
    <t>ORD202500492</t>
  </si>
  <si>
    <t>CUST6922</t>
  </si>
  <si>
    <t>SKU94299</t>
  </si>
  <si>
    <t>ORD202500493</t>
  </si>
  <si>
    <t>CUST2598</t>
  </si>
  <si>
    <t>2025-03-13</t>
  </si>
  <si>
    <t>SKU15197</t>
  </si>
  <si>
    <t>ORD202500494</t>
  </si>
  <si>
    <t>CUST8910</t>
  </si>
  <si>
    <t>SKU36143</t>
  </si>
  <si>
    <t>ORD202500495</t>
  </si>
  <si>
    <t>CUST7689</t>
  </si>
  <si>
    <t>SKU86805</t>
  </si>
  <si>
    <t>ORD202500496</t>
  </si>
  <si>
    <t>CUST6529</t>
  </si>
  <si>
    <t>2025-02-04</t>
  </si>
  <si>
    <t>SKU83144</t>
  </si>
  <si>
    <t>ORD202500497</t>
  </si>
  <si>
    <t>CUST7610</t>
  </si>
  <si>
    <t>SKU40317</t>
  </si>
  <si>
    <t>ORD202500498</t>
  </si>
  <si>
    <t>CUST6506</t>
  </si>
  <si>
    <t>SKU38991</t>
  </si>
  <si>
    <t>ORD202500499</t>
  </si>
  <si>
    <t>CUST9896</t>
  </si>
  <si>
    <t>SKU48936</t>
  </si>
  <si>
    <t>ORD202500500</t>
  </si>
  <si>
    <t>CUST7967</t>
  </si>
  <si>
    <t>SKU75721</t>
  </si>
  <si>
    <t>ORD202500501</t>
  </si>
  <si>
    <t>CUST2265</t>
  </si>
  <si>
    <t>SKU48186</t>
  </si>
  <si>
    <t>ORD202500502</t>
  </si>
  <si>
    <t>SKU56287</t>
  </si>
  <si>
    <t>ORD202500503</t>
  </si>
  <si>
    <t>CUST9584</t>
  </si>
  <si>
    <t>2025-02-21</t>
  </si>
  <si>
    <t>SKU75912</t>
  </si>
  <si>
    <t>ORD202500504</t>
  </si>
  <si>
    <t>CUST6902</t>
  </si>
  <si>
    <t>2025-10-25</t>
  </si>
  <si>
    <t>SKU62693</t>
  </si>
  <si>
    <t>ORD202500505</t>
  </si>
  <si>
    <t>CUST3543</t>
  </si>
  <si>
    <t>SKU39313</t>
  </si>
  <si>
    <t>ORD202500506</t>
  </si>
  <si>
    <t>SKU55185</t>
  </si>
  <si>
    <t>ORD202500507</t>
  </si>
  <si>
    <t>CUST4248</t>
  </si>
  <si>
    <t>2025-11-03</t>
  </si>
  <si>
    <t>SKU34379</t>
  </si>
  <si>
    <t>ORD202500508</t>
  </si>
  <si>
    <t>CUST7005</t>
  </si>
  <si>
    <t>SKU54522</t>
  </si>
  <si>
    <t>ORD202500509</t>
  </si>
  <si>
    <t>CUST9474</t>
  </si>
  <si>
    <t>SKU28344</t>
  </si>
  <si>
    <t>ORD202500510</t>
  </si>
  <si>
    <t>CUST3824</t>
  </si>
  <si>
    <t>2025-04-10</t>
  </si>
  <si>
    <t>SKU86721</t>
  </si>
  <si>
    <t>ORD202500511</t>
  </si>
  <si>
    <t>CUST2060</t>
  </si>
  <si>
    <t>SKU63369</t>
  </si>
  <si>
    <t>ORD202500512</t>
  </si>
  <si>
    <t>CUST8002</t>
  </si>
  <si>
    <t>2025-07-20</t>
  </si>
  <si>
    <t>SKU77735</t>
  </si>
  <si>
    <t>ORD202500513</t>
  </si>
  <si>
    <t>CUST2637</t>
  </si>
  <si>
    <t>SKU11615</t>
  </si>
  <si>
    <t>ORD202500514</t>
  </si>
  <si>
    <t>CUST4865</t>
  </si>
  <si>
    <t>2025-08-01</t>
  </si>
  <si>
    <t>SKU99200</t>
  </si>
  <si>
    <t>ORD202500515</t>
  </si>
  <si>
    <t>CUST7158</t>
  </si>
  <si>
    <t>SKU63986</t>
  </si>
  <si>
    <t>ORD202500516</t>
  </si>
  <si>
    <t>SKU52729</t>
  </si>
  <si>
    <t>ORD202500517</t>
  </si>
  <si>
    <t>CUST8317</t>
  </si>
  <si>
    <t>SKU93709</t>
  </si>
  <si>
    <t>ORD202500518</t>
  </si>
  <si>
    <t>CUST3705</t>
  </si>
  <si>
    <t>SKU42458</t>
  </si>
  <si>
    <t>ORD202500519</t>
  </si>
  <si>
    <t>CUST2227</t>
  </si>
  <si>
    <t>2025-09-21</t>
  </si>
  <si>
    <t>SKU46260</t>
  </si>
  <si>
    <t>ORD202500520</t>
  </si>
  <si>
    <t>CUST8453</t>
  </si>
  <si>
    <t>2025-10-09</t>
  </si>
  <si>
    <t>SKU56978</t>
  </si>
  <si>
    <t>ORD202500521</t>
  </si>
  <si>
    <t>CUST4716</t>
  </si>
  <si>
    <t>SKU18591</t>
  </si>
  <si>
    <t>ORD202500522</t>
  </si>
  <si>
    <t>CUST5601</t>
  </si>
  <si>
    <t>SKU77293</t>
  </si>
  <si>
    <t>ORD202500523</t>
  </si>
  <si>
    <t>CUST3640</t>
  </si>
  <si>
    <t>SKU32235</t>
  </si>
  <si>
    <t>ORD202500524</t>
  </si>
  <si>
    <t>CUST6048</t>
  </si>
  <si>
    <t>SKU92518</t>
  </si>
  <si>
    <t>ORD202500525</t>
  </si>
  <si>
    <t>CUST3865</t>
  </si>
  <si>
    <t>SKU17870</t>
  </si>
  <si>
    <t>ORD202500526</t>
  </si>
  <si>
    <t>CUST6719</t>
  </si>
  <si>
    <t>SKU47837</t>
  </si>
  <si>
    <t>ORD202500527</t>
  </si>
  <si>
    <t>SKU82907</t>
  </si>
  <si>
    <t>ORD202500528</t>
  </si>
  <si>
    <t>CUST1937</t>
  </si>
  <si>
    <t>2025-01-09</t>
  </si>
  <si>
    <t>SKU64351</t>
  </si>
  <si>
    <t>ORD202500529</t>
  </si>
  <si>
    <t>CUST8637</t>
  </si>
  <si>
    <t>SKU60245</t>
  </si>
  <si>
    <t>ORD202500530</t>
  </si>
  <si>
    <t>CUST2204</t>
  </si>
  <si>
    <t>SKU48197</t>
  </si>
  <si>
    <t>ORD202500531</t>
  </si>
  <si>
    <t>CUST1180</t>
  </si>
  <si>
    <t>SKU66481</t>
  </si>
  <si>
    <t>ORD202500532</t>
  </si>
  <si>
    <t>CUST5426</t>
  </si>
  <si>
    <t>SKU74705</t>
  </si>
  <si>
    <t>ORD202500533</t>
  </si>
  <si>
    <t>CUST4112</t>
  </si>
  <si>
    <t>SKU15389</t>
  </si>
  <si>
    <t>ORD202500534</t>
  </si>
  <si>
    <t>CUST2192</t>
  </si>
  <si>
    <t>SKU59535</t>
  </si>
  <si>
    <t>ORD202500535</t>
  </si>
  <si>
    <t>CUST1690</t>
  </si>
  <si>
    <t>SKU66194</t>
  </si>
  <si>
    <t>ORD202500536</t>
  </si>
  <si>
    <t>CUST9218</t>
  </si>
  <si>
    <t>2025-05-07</t>
  </si>
  <si>
    <t>SKU57173</t>
  </si>
  <si>
    <t>ORD202500537</t>
  </si>
  <si>
    <t>CUST6147</t>
  </si>
  <si>
    <t>2025-12-30</t>
  </si>
  <si>
    <t>SKU73128</t>
  </si>
  <si>
    <t>ORD202500538</t>
  </si>
  <si>
    <t>CUST5956</t>
  </si>
  <si>
    <t>SKU84451</t>
  </si>
  <si>
    <t>ORD202500539</t>
  </si>
  <si>
    <t>CUST9189</t>
  </si>
  <si>
    <t>2025-05-28</t>
  </si>
  <si>
    <t>SKU86931</t>
  </si>
  <si>
    <t>ORD202500540</t>
  </si>
  <si>
    <t>CUST4651</t>
  </si>
  <si>
    <t>2025-06-15</t>
  </si>
  <si>
    <t>SKU47756</t>
  </si>
  <si>
    <t>ORD202500541</t>
  </si>
  <si>
    <t>CUST4202</t>
  </si>
  <si>
    <t>2025-07-31</t>
  </si>
  <si>
    <t>SKU38369</t>
  </si>
  <si>
    <t>ORD202500542</t>
  </si>
  <si>
    <t>CUST3639</t>
  </si>
  <si>
    <t>SKU90695</t>
  </si>
  <si>
    <t>ORD202500543</t>
  </si>
  <si>
    <t>CUST7173</t>
  </si>
  <si>
    <t>SKU55001</t>
  </si>
  <si>
    <t>ORD202500544</t>
  </si>
  <si>
    <t>SKU46553</t>
  </si>
  <si>
    <t>ORD202500545</t>
  </si>
  <si>
    <t>CUST4628</t>
  </si>
  <si>
    <t>SKU92078</t>
  </si>
  <si>
    <t>ORD202500546</t>
  </si>
  <si>
    <t>CUST1131</t>
  </si>
  <si>
    <t>SKU34421</t>
  </si>
  <si>
    <t>ORD202500547</t>
  </si>
  <si>
    <t>CUST7223</t>
  </si>
  <si>
    <t>SKU82756</t>
  </si>
  <si>
    <t>ORD202500548</t>
  </si>
  <si>
    <t>CUST3270</t>
  </si>
  <si>
    <t>SKU42038</t>
  </si>
  <si>
    <t>ORD202500549</t>
  </si>
  <si>
    <t>CUST2945</t>
  </si>
  <si>
    <t>SKU50381</t>
  </si>
  <si>
    <t>ORD202500550</t>
  </si>
  <si>
    <t>CUST2126</t>
  </si>
  <si>
    <t>2025-03-01</t>
  </si>
  <si>
    <t>SKU24699</t>
  </si>
  <si>
    <t>ORD202500551</t>
  </si>
  <si>
    <t>CUST4277</t>
  </si>
  <si>
    <t>SKU40113</t>
  </si>
  <si>
    <t>ORD202500552</t>
  </si>
  <si>
    <t>CUST5481</t>
  </si>
  <si>
    <t>SKU19471</t>
  </si>
  <si>
    <t>ORD202500553</t>
  </si>
  <si>
    <t>CUST1199</t>
  </si>
  <si>
    <t>SKU51357</t>
  </si>
  <si>
    <t>ORD202500554</t>
  </si>
  <si>
    <t>CUST4671</t>
  </si>
  <si>
    <t>SKU73319</t>
  </si>
  <si>
    <t>ORD202500555</t>
  </si>
  <si>
    <t>CUST5652</t>
  </si>
  <si>
    <t>2025-10-13</t>
  </si>
  <si>
    <t>SKU19343</t>
  </si>
  <si>
    <t>ORD202500556</t>
  </si>
  <si>
    <t>2025-09-11</t>
  </si>
  <si>
    <t>SKU10884</t>
  </si>
  <si>
    <t>ORD202500557</t>
  </si>
  <si>
    <t>CUST2201</t>
  </si>
  <si>
    <t>SKU43481</t>
  </si>
  <si>
    <t>ORD202500558</t>
  </si>
  <si>
    <t>CUST5770</t>
  </si>
  <si>
    <t>2025-07-25</t>
  </si>
  <si>
    <t>SKU70585</t>
  </si>
  <si>
    <t>ORD202500559</t>
  </si>
  <si>
    <t>CUST4051</t>
  </si>
  <si>
    <t>SKU26647</t>
  </si>
  <si>
    <t>ORD202500560</t>
  </si>
  <si>
    <t>CUST7171</t>
  </si>
  <si>
    <t>2025-07-27</t>
  </si>
  <si>
    <t>SKU89547</t>
  </si>
  <si>
    <t>ORD202500561</t>
  </si>
  <si>
    <t>CUST8452</t>
  </si>
  <si>
    <t>SKU35696</t>
  </si>
  <si>
    <t>ORD202500562</t>
  </si>
  <si>
    <t>CUST6606</t>
  </si>
  <si>
    <t>SKU41404</t>
  </si>
  <si>
    <t>ORD202500563</t>
  </si>
  <si>
    <t>CUST4019</t>
  </si>
  <si>
    <t>SKU77918</t>
  </si>
  <si>
    <t>ORD202500564</t>
  </si>
  <si>
    <t>CUST9543</t>
  </si>
  <si>
    <t>SKU65798</t>
  </si>
  <si>
    <t>ORD202500565</t>
  </si>
  <si>
    <t>CUST2747</t>
  </si>
  <si>
    <t>SKU39408</t>
  </si>
  <si>
    <t>ORD202500566</t>
  </si>
  <si>
    <t>CUST1970</t>
  </si>
  <si>
    <t>2025-10-01</t>
  </si>
  <si>
    <t>SKU94765</t>
  </si>
  <si>
    <t>ORD202500567</t>
  </si>
  <si>
    <t>CUST2986</t>
  </si>
  <si>
    <t>SKU36012</t>
  </si>
  <si>
    <t>ORD202500568</t>
  </si>
  <si>
    <t>CUST7006</t>
  </si>
  <si>
    <t>SKU60842</t>
  </si>
  <si>
    <t>ORD202500569</t>
  </si>
  <si>
    <t>CUST2756</t>
  </si>
  <si>
    <t>SKU81703</t>
  </si>
  <si>
    <t>ORD202500570</t>
  </si>
  <si>
    <t>CUST9256</t>
  </si>
  <si>
    <t>SKU63864</t>
  </si>
  <si>
    <t>ORD202500571</t>
  </si>
  <si>
    <t>SKU66353</t>
  </si>
  <si>
    <t>ORD202500572</t>
  </si>
  <si>
    <t>CUST7405</t>
  </si>
  <si>
    <t>SKU85102</t>
  </si>
  <si>
    <t>ORD202500573</t>
  </si>
  <si>
    <t>CUST3404</t>
  </si>
  <si>
    <t>SKU22808</t>
  </si>
  <si>
    <t>ORD202500574</t>
  </si>
  <si>
    <t>SKU24120</t>
  </si>
  <si>
    <t>ORD202500575</t>
  </si>
  <si>
    <t>CUST9742</t>
  </si>
  <si>
    <t>SKU70545</t>
  </si>
  <si>
    <t>ORD202500576</t>
  </si>
  <si>
    <t>CUST4372</t>
  </si>
  <si>
    <t>SKU15934</t>
  </si>
  <si>
    <t>ORD202500577</t>
  </si>
  <si>
    <t>CUST3226</t>
  </si>
  <si>
    <t>2025-08-19</t>
  </si>
  <si>
    <t>SKU60167</t>
  </si>
  <si>
    <t>ORD202500578</t>
  </si>
  <si>
    <t>CUST2863</t>
  </si>
  <si>
    <t>2025-04-21</t>
  </si>
  <si>
    <t>SKU54071</t>
  </si>
  <si>
    <t>ORD202500579</t>
  </si>
  <si>
    <t>CUST6172</t>
  </si>
  <si>
    <t>2025-02-25</t>
  </si>
  <si>
    <t>SKU89868</t>
  </si>
  <si>
    <t>ORD202500580</t>
  </si>
  <si>
    <t>CUST2782</t>
  </si>
  <si>
    <t>2025-07-07</t>
  </si>
  <si>
    <t>SKU16822</t>
  </si>
  <si>
    <t>ORD202500581</t>
  </si>
  <si>
    <t>CUST2842</t>
  </si>
  <si>
    <t>SKU67428</t>
  </si>
  <si>
    <t>ORD202500582</t>
  </si>
  <si>
    <t>CUST4205</t>
  </si>
  <si>
    <t>SKU22575</t>
  </si>
  <si>
    <t>ORD202500583</t>
  </si>
  <si>
    <t>CUST9504</t>
  </si>
  <si>
    <t>SKU63475</t>
  </si>
  <si>
    <t>ORD202500584</t>
  </si>
  <si>
    <t>CUST4363</t>
  </si>
  <si>
    <t>SKU85184</t>
  </si>
  <si>
    <t>ORD202500585</t>
  </si>
  <si>
    <t>CUST1544</t>
  </si>
  <si>
    <t>SKU60281</t>
  </si>
  <si>
    <t>ORD202500586</t>
  </si>
  <si>
    <t>CUST8101</t>
  </si>
  <si>
    <t>SKU66482</t>
  </si>
  <si>
    <t>ORD202500587</t>
  </si>
  <si>
    <t>CUST9525</t>
  </si>
  <si>
    <t>2025-06-19</t>
  </si>
  <si>
    <t>SKU29481</t>
  </si>
  <si>
    <t>ORD202500588</t>
  </si>
  <si>
    <t>CUST2824</t>
  </si>
  <si>
    <t>SKU44263</t>
  </si>
  <si>
    <t>ORD202500589</t>
  </si>
  <si>
    <t>CUST2545</t>
  </si>
  <si>
    <t>SKU47717</t>
  </si>
  <si>
    <t>ORD202500590</t>
  </si>
  <si>
    <t>2025-06-29</t>
  </si>
  <si>
    <t>SKU67088</t>
  </si>
  <si>
    <t>ORD202500591</t>
  </si>
  <si>
    <t>CUST6860</t>
  </si>
  <si>
    <t>2025-03-14</t>
  </si>
  <si>
    <t>SKU41707</t>
  </si>
  <si>
    <t>ORD202500592</t>
  </si>
  <si>
    <t>CUST5497</t>
  </si>
  <si>
    <t>SKU38507</t>
  </si>
  <si>
    <t>ORD202500593</t>
  </si>
  <si>
    <t>CUST9550</t>
  </si>
  <si>
    <t>SKU30628</t>
  </si>
  <si>
    <t>ORD202500594</t>
  </si>
  <si>
    <t>CUST2046</t>
  </si>
  <si>
    <t>SKU74575</t>
  </si>
  <si>
    <t>ORD202500595</t>
  </si>
  <si>
    <t>CUST2461</t>
  </si>
  <si>
    <t>SKU91946</t>
  </si>
  <si>
    <t>ORD202500596</t>
  </si>
  <si>
    <t>CUST8239</t>
  </si>
  <si>
    <t>SKU87883</t>
  </si>
  <si>
    <t>ORD202500597</t>
  </si>
  <si>
    <t>CUST8871</t>
  </si>
  <si>
    <t>SKU98965</t>
  </si>
  <si>
    <t>ORD202500598</t>
  </si>
  <si>
    <t>CUST8566</t>
  </si>
  <si>
    <t>SKU68178</t>
  </si>
  <si>
    <t>ORD202500599</t>
  </si>
  <si>
    <t>CUST1038</t>
  </si>
  <si>
    <t>SKU84708</t>
  </si>
  <si>
    <t>ORD202500600</t>
  </si>
  <si>
    <t>CUST6814</t>
  </si>
  <si>
    <t>SKU90700</t>
  </si>
  <si>
    <t>ORD202500601</t>
  </si>
  <si>
    <t>CUST4064</t>
  </si>
  <si>
    <t>SKU79644</t>
  </si>
  <si>
    <t>ORD202500602</t>
  </si>
  <si>
    <t>CUST5513</t>
  </si>
  <si>
    <t>SKU52601</t>
  </si>
  <si>
    <t>ORD202500603</t>
  </si>
  <si>
    <t>CUST4190</t>
  </si>
  <si>
    <t>SKU51245</t>
  </si>
  <si>
    <t>ORD202500604</t>
  </si>
  <si>
    <t>CUST5762</t>
  </si>
  <si>
    <t>SKU61288</t>
  </si>
  <si>
    <t>ORD202500605</t>
  </si>
  <si>
    <t>CUST4578</t>
  </si>
  <si>
    <t>SKU97054</t>
  </si>
  <si>
    <t>ORD202500606</t>
  </si>
  <si>
    <t>CUST4319</t>
  </si>
  <si>
    <t>SKU16161</t>
  </si>
  <si>
    <t>ORD202500607</t>
  </si>
  <si>
    <t>CUST3534</t>
  </si>
  <si>
    <t>SKU81110</t>
  </si>
  <si>
    <t>ORD202500608</t>
  </si>
  <si>
    <t>CUST4584</t>
  </si>
  <si>
    <t>SKU97891</t>
  </si>
  <si>
    <t>ORD202500609</t>
  </si>
  <si>
    <t>CUST8648</t>
  </si>
  <si>
    <t>SKU13788</t>
  </si>
  <si>
    <t>ORD202500610</t>
  </si>
  <si>
    <t>CUST5343</t>
  </si>
  <si>
    <t>2025-05-02</t>
  </si>
  <si>
    <t>SKU41002</t>
  </si>
  <si>
    <t>ORD202500611</t>
  </si>
  <si>
    <t>CUST4435</t>
  </si>
  <si>
    <t>SKU41054</t>
  </si>
  <si>
    <t>ORD202500612</t>
  </si>
  <si>
    <t>CUST8427</t>
  </si>
  <si>
    <t>SKU59562</t>
  </si>
  <si>
    <t>ORD202500613</t>
  </si>
  <si>
    <t>CUST9606</t>
  </si>
  <si>
    <t>SKU61267</t>
  </si>
  <si>
    <t>ORD202500614</t>
  </si>
  <si>
    <t>CUST3368</t>
  </si>
  <si>
    <t>2025-03-07</t>
  </si>
  <si>
    <t>SKU36617</t>
  </si>
  <si>
    <t>ORD202500615</t>
  </si>
  <si>
    <t>CUST2740</t>
  </si>
  <si>
    <t>SKU54462</t>
  </si>
  <si>
    <t>ORD202500616</t>
  </si>
  <si>
    <t>CUST2062</t>
  </si>
  <si>
    <t>SKU65074</t>
  </si>
  <si>
    <t>ORD202500617</t>
  </si>
  <si>
    <t>CUST2895</t>
  </si>
  <si>
    <t>2025-09-20</t>
  </si>
  <si>
    <t>SKU99229</t>
  </si>
  <si>
    <t>ORD202500618</t>
  </si>
  <si>
    <t>CUST1434</t>
  </si>
  <si>
    <t>2025-12-03</t>
  </si>
  <si>
    <t>SKU84383</t>
  </si>
  <si>
    <t>ORD202500619</t>
  </si>
  <si>
    <t>CUST7566</t>
  </si>
  <si>
    <t>SKU80091</t>
  </si>
  <si>
    <t>ORD202500620</t>
  </si>
  <si>
    <t>CUST4855</t>
  </si>
  <si>
    <t>SKU58353</t>
  </si>
  <si>
    <t>ORD202500621</t>
  </si>
  <si>
    <t>CUST3578</t>
  </si>
  <si>
    <t>SKU67019</t>
  </si>
  <si>
    <t>ORD202500622</t>
  </si>
  <si>
    <t>CUST6732</t>
  </si>
  <si>
    <t>SKU81437</t>
  </si>
  <si>
    <t>ORD202500623</t>
  </si>
  <si>
    <t>CUST1584</t>
  </si>
  <si>
    <t>SKU87643</t>
  </si>
  <si>
    <t>ORD202500624</t>
  </si>
  <si>
    <t>CUST5271</t>
  </si>
  <si>
    <t>2025-09-13</t>
  </si>
  <si>
    <t>SKU32694</t>
  </si>
  <si>
    <t>ORD202500625</t>
  </si>
  <si>
    <t>CUST6462</t>
  </si>
  <si>
    <t>SKU98957</t>
  </si>
  <si>
    <t>ORD202500626</t>
  </si>
  <si>
    <t>CUST8853</t>
  </si>
  <si>
    <t>SKU14363</t>
  </si>
  <si>
    <t>ORD202500627</t>
  </si>
  <si>
    <t>CUST9118</t>
  </si>
  <si>
    <t>SKU21473</t>
  </si>
  <si>
    <t>ORD202500628</t>
  </si>
  <si>
    <t>CUST9643</t>
  </si>
  <si>
    <t>SKU66153</t>
  </si>
  <si>
    <t>ORD202500629</t>
  </si>
  <si>
    <t>CUST1612</t>
  </si>
  <si>
    <t>SKU39547</t>
  </si>
  <si>
    <t>ORD202500630</t>
  </si>
  <si>
    <t>CUST2072</t>
  </si>
  <si>
    <t>SKU80887</t>
  </si>
  <si>
    <t>ORD202500631</t>
  </si>
  <si>
    <t>CUST3992</t>
  </si>
  <si>
    <t>SKU65706</t>
  </si>
  <si>
    <t>ORD202500632</t>
  </si>
  <si>
    <t>CUST9034</t>
  </si>
  <si>
    <t>SKU95844</t>
  </si>
  <si>
    <t>ORD202500633</t>
  </si>
  <si>
    <t>CUST4270</t>
  </si>
  <si>
    <t>SKU34324</t>
  </si>
  <si>
    <t>ORD202500634</t>
  </si>
  <si>
    <t>CUST8455</t>
  </si>
  <si>
    <t>SKU10963</t>
  </si>
  <si>
    <t>ORD202500635</t>
  </si>
  <si>
    <t>CUST9187</t>
  </si>
  <si>
    <t>SKU30155</t>
  </si>
  <si>
    <t>ORD202500636</t>
  </si>
  <si>
    <t>CUST1441</t>
  </si>
  <si>
    <t>SKU40926</t>
  </si>
  <si>
    <t>ORD202500637</t>
  </si>
  <si>
    <t>CUST7201</t>
  </si>
  <si>
    <t>SKU68008</t>
  </si>
  <si>
    <t>ORD202500638</t>
  </si>
  <si>
    <t>CUST8403</t>
  </si>
  <si>
    <t>SKU61794</t>
  </si>
  <si>
    <t>ORD202500639</t>
  </si>
  <si>
    <t>CUST9897</t>
  </si>
  <si>
    <t>SKU73729</t>
  </si>
  <si>
    <t>ORD202500640</t>
  </si>
  <si>
    <t>CUST2114</t>
  </si>
  <si>
    <t>ORD202500641</t>
  </si>
  <si>
    <t>CUST3911</t>
  </si>
  <si>
    <t>2025-12-24</t>
  </si>
  <si>
    <t>SKU17394</t>
  </si>
  <si>
    <t>ORD202500642</t>
  </si>
  <si>
    <t>CUST6042</t>
  </si>
  <si>
    <t>2025-03-21</t>
  </si>
  <si>
    <t>SKU48365</t>
  </si>
  <si>
    <t>ORD202500643</t>
  </si>
  <si>
    <t>CUST3142</t>
  </si>
  <si>
    <t>SKU46270</t>
  </si>
  <si>
    <t>ORD202500644</t>
  </si>
  <si>
    <t>CUST2590</t>
  </si>
  <si>
    <t>SKU68374</t>
  </si>
  <si>
    <t>ORD202500645</t>
  </si>
  <si>
    <t>CUST3078</t>
  </si>
  <si>
    <t>SKU31431</t>
  </si>
  <si>
    <t>ORD202500646</t>
  </si>
  <si>
    <t>CUST4874</t>
  </si>
  <si>
    <t>SKU74894</t>
  </si>
  <si>
    <t>ORD202500647</t>
  </si>
  <si>
    <t>CUST3310</t>
  </si>
  <si>
    <t>SKU14245</t>
  </si>
  <si>
    <t>ORD202500648</t>
  </si>
  <si>
    <t>CUST8270</t>
  </si>
  <si>
    <t>SKU56133</t>
  </si>
  <si>
    <t>ORD202500649</t>
  </si>
  <si>
    <t>CUST8322</t>
  </si>
  <si>
    <t>SKU77471</t>
  </si>
  <si>
    <t>ORD202500650</t>
  </si>
  <si>
    <t>CUST2252</t>
  </si>
  <si>
    <t>SKU22332</t>
  </si>
  <si>
    <t>ORD202500651</t>
  </si>
  <si>
    <t>SKU43720</t>
  </si>
  <si>
    <t>ORD202500652</t>
  </si>
  <si>
    <t>CUST3913</t>
  </si>
  <si>
    <t>SKU49987</t>
  </si>
  <si>
    <t>ORD202500653</t>
  </si>
  <si>
    <t>CUST5259</t>
  </si>
  <si>
    <t>2025-04-30</t>
  </si>
  <si>
    <t>SKU94438</t>
  </si>
  <si>
    <t>ORD202500654</t>
  </si>
  <si>
    <t>CUST2864</t>
  </si>
  <si>
    <t>SKU13436</t>
  </si>
  <si>
    <t>ORD202500655</t>
  </si>
  <si>
    <t>CUST7570</t>
  </si>
  <si>
    <t>SKU27698</t>
  </si>
  <si>
    <t>ORD202500656</t>
  </si>
  <si>
    <t>CUST5191</t>
  </si>
  <si>
    <t>SKU70904</t>
  </si>
  <si>
    <t>ORD202500657</t>
  </si>
  <si>
    <t>SKU16537</t>
  </si>
  <si>
    <t>ORD202500658</t>
  </si>
  <si>
    <t>CUST8558</t>
  </si>
  <si>
    <t>SKU70069</t>
  </si>
  <si>
    <t>ORD202500659</t>
  </si>
  <si>
    <t>2025-12-02</t>
  </si>
  <si>
    <t>SKU82770</t>
  </si>
  <si>
    <t>ORD202500660</t>
  </si>
  <si>
    <t>CUST5493</t>
  </si>
  <si>
    <t>SKU49000</t>
  </si>
  <si>
    <t>ORD202500661</t>
  </si>
  <si>
    <t>CUST1819</t>
  </si>
  <si>
    <t>SKU55333</t>
  </si>
  <si>
    <t>ORD202500662</t>
  </si>
  <si>
    <t>CUST1274</t>
  </si>
  <si>
    <t>SKU64140</t>
  </si>
  <si>
    <t>ORD202500663</t>
  </si>
  <si>
    <t>CUST9377</t>
  </si>
  <si>
    <t>SKU30539</t>
  </si>
  <si>
    <t>ORD202500664</t>
  </si>
  <si>
    <t>CUST1862</t>
  </si>
  <si>
    <t>2025-07-06</t>
  </si>
  <si>
    <t>SKU69309</t>
  </si>
  <si>
    <t>ORD202500665</t>
  </si>
  <si>
    <t>CUST1130</t>
  </si>
  <si>
    <t>2025-06-28</t>
  </si>
  <si>
    <t>SKU70525</t>
  </si>
  <si>
    <t>ORD202500666</t>
  </si>
  <si>
    <t>CUST7872</t>
  </si>
  <si>
    <t>SKU36462</t>
  </si>
  <si>
    <t>ORD202500667</t>
  </si>
  <si>
    <t>CUST2656</t>
  </si>
  <si>
    <t>SKU85651</t>
  </si>
  <si>
    <t>ORD202500668</t>
  </si>
  <si>
    <t>SKU18014</t>
  </si>
  <si>
    <t>ORD202500669</t>
  </si>
  <si>
    <t>CUST9703</t>
  </si>
  <si>
    <t>SKU10128</t>
  </si>
  <si>
    <t>ORD202500670</t>
  </si>
  <si>
    <t>2025-02-06</t>
  </si>
  <si>
    <t>SKU34843</t>
  </si>
  <si>
    <t>ORD202500671</t>
  </si>
  <si>
    <t>CUST3636</t>
  </si>
  <si>
    <t>2025-08-13</t>
  </si>
  <si>
    <t>SKU83608</t>
  </si>
  <si>
    <t>ORD202500672</t>
  </si>
  <si>
    <t>CUST8922</t>
  </si>
  <si>
    <t>SKU73699</t>
  </si>
  <si>
    <t>ORD202500673</t>
  </si>
  <si>
    <t>CUST7874</t>
  </si>
  <si>
    <t>2025-04-03</t>
  </si>
  <si>
    <t>SKU52516</t>
  </si>
  <si>
    <t>ORD202500674</t>
  </si>
  <si>
    <t>CUST9646</t>
  </si>
  <si>
    <t>SKU70539</t>
  </si>
  <si>
    <t>ORD202500675</t>
  </si>
  <si>
    <t>CUST9466</t>
  </si>
  <si>
    <t>SKU19206</t>
  </si>
  <si>
    <t>ORD202500676</t>
  </si>
  <si>
    <t>CUST5566</t>
  </si>
  <si>
    <t>SKU12420</t>
  </si>
  <si>
    <t>ORD202500677</t>
  </si>
  <si>
    <t>CUST6898</t>
  </si>
  <si>
    <t>SKU11079</t>
  </si>
  <si>
    <t>ORD202500678</t>
  </si>
  <si>
    <t>CUST8738</t>
  </si>
  <si>
    <t>SKU71947</t>
  </si>
  <si>
    <t>ORD202500679</t>
  </si>
  <si>
    <t>2025-08-27</t>
  </si>
  <si>
    <t>SKU18583</t>
  </si>
  <si>
    <t>ORD202500680</t>
  </si>
  <si>
    <t>CUST8790</t>
  </si>
  <si>
    <t>SKU19187</t>
  </si>
  <si>
    <t>ORD202500681</t>
  </si>
  <si>
    <t>2025-08-31</t>
  </si>
  <si>
    <t>SKU36822</t>
  </si>
  <si>
    <t>ORD202500682</t>
  </si>
  <si>
    <t>CUST2750</t>
  </si>
  <si>
    <t>SKU53012</t>
  </si>
  <si>
    <t>ORD202500683</t>
  </si>
  <si>
    <t>CUST7790</t>
  </si>
  <si>
    <t>SKU56077</t>
  </si>
  <si>
    <t>ORD202500684</t>
  </si>
  <si>
    <t>CUST4125</t>
  </si>
  <si>
    <t>SKU78732</t>
  </si>
  <si>
    <t>ORD202500685</t>
  </si>
  <si>
    <t>CUST3129</t>
  </si>
  <si>
    <t>SKU27540</t>
  </si>
  <si>
    <t>ORD202500686</t>
  </si>
  <si>
    <t>CUST4942</t>
  </si>
  <si>
    <t>SKU83203</t>
  </si>
  <si>
    <t>ORD202500687</t>
  </si>
  <si>
    <t>CUST1785</t>
  </si>
  <si>
    <t>SKU72247</t>
  </si>
  <si>
    <t>ORD202500688</t>
  </si>
  <si>
    <t>CUST8707</t>
  </si>
  <si>
    <t>SKU14186</t>
  </si>
  <si>
    <t>ORD202500689</t>
  </si>
  <si>
    <t>CUST5632</t>
  </si>
  <si>
    <t>SKU60380</t>
  </si>
  <si>
    <t>ORD202500690</t>
  </si>
  <si>
    <t>SKU77819</t>
  </si>
  <si>
    <t>ORD202500691</t>
  </si>
  <si>
    <t>CUST5505</t>
  </si>
  <si>
    <t>SKU46657</t>
  </si>
  <si>
    <t>ORD202500692</t>
  </si>
  <si>
    <t>CUST9998</t>
  </si>
  <si>
    <t>SKU77834</t>
  </si>
  <si>
    <t>ORD202500693</t>
  </si>
  <si>
    <t>CUST3302</t>
  </si>
  <si>
    <t>SKU38127</t>
  </si>
  <si>
    <t>ORD202500694</t>
  </si>
  <si>
    <t>CUST4032</t>
  </si>
  <si>
    <t>SKU70639</t>
  </si>
  <si>
    <t>ORD202500695</t>
  </si>
  <si>
    <t>CUST6028</t>
  </si>
  <si>
    <t>SKU94189</t>
  </si>
  <si>
    <t>ORD202500696</t>
  </si>
  <si>
    <t>CUST7336</t>
  </si>
  <si>
    <t>SKU11337</t>
  </si>
  <si>
    <t>ORD202500697</t>
  </si>
  <si>
    <t>CUST7664</t>
  </si>
  <si>
    <t>2025-04-12</t>
  </si>
  <si>
    <t>SKU95549</t>
  </si>
  <si>
    <t>ORD202500698</t>
  </si>
  <si>
    <t>CUST5266</t>
  </si>
  <si>
    <t>SKU52237</t>
  </si>
  <si>
    <t>ORD202500699</t>
  </si>
  <si>
    <t>CUST5575</t>
  </si>
  <si>
    <t>SKU84204</t>
  </si>
  <si>
    <t>ORD202500700</t>
  </si>
  <si>
    <t>CUST3649</t>
  </si>
  <si>
    <t>SKU95046</t>
  </si>
  <si>
    <t>ORD202500701</t>
  </si>
  <si>
    <t>CUST8856</t>
  </si>
  <si>
    <t>SKU69634</t>
  </si>
  <si>
    <t>ORD202500702</t>
  </si>
  <si>
    <t>CUST7015</t>
  </si>
  <si>
    <t>SKU31391</t>
  </si>
  <si>
    <t>ORD202500703</t>
  </si>
  <si>
    <t>CUST5933</t>
  </si>
  <si>
    <t>SKU71354</t>
  </si>
  <si>
    <t>ORD202500704</t>
  </si>
  <si>
    <t>SKU18807</t>
  </si>
  <si>
    <t>ORD202500705</t>
  </si>
  <si>
    <t>SKU34039</t>
  </si>
  <si>
    <t>ORD202500706</t>
  </si>
  <si>
    <t>CUST3940</t>
  </si>
  <si>
    <t>SKU77489</t>
  </si>
  <si>
    <t>ORD202500707</t>
  </si>
  <si>
    <t>CUST5220</t>
  </si>
  <si>
    <t>SKU98692</t>
  </si>
  <si>
    <t>ORD202500708</t>
  </si>
  <si>
    <t>CUST7721</t>
  </si>
  <si>
    <t>SKU12639</t>
  </si>
  <si>
    <t>ORD202500709</t>
  </si>
  <si>
    <t>CUST7023</t>
  </si>
  <si>
    <t>SKU50922</t>
  </si>
  <si>
    <t>ORD202500710</t>
  </si>
  <si>
    <t>CUST1574</t>
  </si>
  <si>
    <t>SKU22768</t>
  </si>
  <si>
    <t>ORD202500711</t>
  </si>
  <si>
    <t>CUST2129</t>
  </si>
  <si>
    <t>SKU46864</t>
  </si>
  <si>
    <t>ORD202500712</t>
  </si>
  <si>
    <t>CUST7248</t>
  </si>
  <si>
    <t>SKU12464</t>
  </si>
  <si>
    <t>ORD202500713</t>
  </si>
  <si>
    <t>CUST4364</t>
  </si>
  <si>
    <t>2025-10-02</t>
  </si>
  <si>
    <t>SKU21761</t>
  </si>
  <si>
    <t>ORD202500714</t>
  </si>
  <si>
    <t>SKU10724</t>
  </si>
  <si>
    <t>ORD202500715</t>
  </si>
  <si>
    <t>CUST5911</t>
  </si>
  <si>
    <t>SKU80336</t>
  </si>
  <si>
    <t>ORD202500716</t>
  </si>
  <si>
    <t>CUST8316</t>
  </si>
  <si>
    <t>2025-09-03</t>
  </si>
  <si>
    <t>SKU41190</t>
  </si>
  <si>
    <t>ORD202500717</t>
  </si>
  <si>
    <t>CUST4827</t>
  </si>
  <si>
    <t>SKU79981</t>
  </si>
  <si>
    <t>ORD202500718</t>
  </si>
  <si>
    <t>CUST3761</t>
  </si>
  <si>
    <t>SKU74048</t>
  </si>
  <si>
    <t>ORD202500719</t>
  </si>
  <si>
    <t>CUST6941</t>
  </si>
  <si>
    <t>SKU61324</t>
  </si>
  <si>
    <t>ORD202500720</t>
  </si>
  <si>
    <t>CUST1221</t>
  </si>
  <si>
    <t>SKU22821</t>
  </si>
  <si>
    <t>ORD202500721</t>
  </si>
  <si>
    <t>SKU38969</t>
  </si>
  <si>
    <t>ORD202500722</t>
  </si>
  <si>
    <t>CUST4528</t>
  </si>
  <si>
    <t>SKU14204</t>
  </si>
  <si>
    <t>ORD202500723</t>
  </si>
  <si>
    <t>CUST8244</t>
  </si>
  <si>
    <t>SKU14871</t>
  </si>
  <si>
    <t>ORD202500724</t>
  </si>
  <si>
    <t>CUST5035</t>
  </si>
  <si>
    <t>SKU96358</t>
  </si>
  <si>
    <t>ORD202500725</t>
  </si>
  <si>
    <t>CUST1872</t>
  </si>
  <si>
    <t>SKU67690</t>
  </si>
  <si>
    <t>ORD202500726</t>
  </si>
  <si>
    <t>CUST7274</t>
  </si>
  <si>
    <t>2025-08-16</t>
  </si>
  <si>
    <t>SKU73695</t>
  </si>
  <si>
    <t>ORD202500727</t>
  </si>
  <si>
    <t>CUST7034</t>
  </si>
  <si>
    <t>SKU80301</t>
  </si>
  <si>
    <t>ORD202500728</t>
  </si>
  <si>
    <t>CUST1603</t>
  </si>
  <si>
    <t>SKU67182</t>
  </si>
  <si>
    <t>ORD202500729</t>
  </si>
  <si>
    <t>CUST8250</t>
  </si>
  <si>
    <t>SKU43311</t>
  </si>
  <si>
    <t>ORD202500730</t>
  </si>
  <si>
    <t>CUST8518</t>
  </si>
  <si>
    <t>SKU69166</t>
  </si>
  <si>
    <t>ORD202500731</t>
  </si>
  <si>
    <t>CUST3314</t>
  </si>
  <si>
    <t>2025-05-21</t>
  </si>
  <si>
    <t>SKU64489</t>
  </si>
  <si>
    <t>ORD202500732</t>
  </si>
  <si>
    <t>CUST9321</t>
  </si>
  <si>
    <t>SKU74822</t>
  </si>
  <si>
    <t>ORD202500733</t>
  </si>
  <si>
    <t>CUST8862</t>
  </si>
  <si>
    <t>SKU69735</t>
  </si>
  <si>
    <t>ORD202500734</t>
  </si>
  <si>
    <t>CUST6570</t>
  </si>
  <si>
    <t>SKU32655</t>
  </si>
  <si>
    <t>ORD202500735</t>
  </si>
  <si>
    <t>CUST2636</t>
  </si>
  <si>
    <t>SKU76924</t>
  </si>
  <si>
    <t>ORD202500736</t>
  </si>
  <si>
    <t>CUST2260</t>
  </si>
  <si>
    <t>2025-10-26</t>
  </si>
  <si>
    <t>SKU63795</t>
  </si>
  <si>
    <t>ORD202500737</t>
  </si>
  <si>
    <t>CUST4985</t>
  </si>
  <si>
    <t>SKU16229</t>
  </si>
  <si>
    <t>ORD202500738</t>
  </si>
  <si>
    <t>CUST7565</t>
  </si>
  <si>
    <t>SKU66254</t>
  </si>
  <si>
    <t>ORD202500739</t>
  </si>
  <si>
    <t>CUST4690</t>
  </si>
  <si>
    <t>SKU20086</t>
  </si>
  <si>
    <t>ORD202500740</t>
  </si>
  <si>
    <t>CUST4306</t>
  </si>
  <si>
    <t>SKU60361</t>
  </si>
  <si>
    <t>ORD202500741</t>
  </si>
  <si>
    <t>CUST5773</t>
  </si>
  <si>
    <t>SKU53964</t>
  </si>
  <si>
    <t>ORD202500742</t>
  </si>
  <si>
    <t>CUST9948</t>
  </si>
  <si>
    <t>SKU91043</t>
  </si>
  <si>
    <t>ORD202500743</t>
  </si>
  <si>
    <t>CUST3972</t>
  </si>
  <si>
    <t>SKU89319</t>
  </si>
  <si>
    <t>ORD202500744</t>
  </si>
  <si>
    <t>CUST1104</t>
  </si>
  <si>
    <t>SKU67254</t>
  </si>
  <si>
    <t>ORD202500745</t>
  </si>
  <si>
    <t>CUST6492</t>
  </si>
  <si>
    <t>SKU51593</t>
  </si>
  <si>
    <t>ORD202500746</t>
  </si>
  <si>
    <t>SKU84723</t>
  </si>
  <si>
    <t>ORD202500747</t>
  </si>
  <si>
    <t>CUST7456</t>
  </si>
  <si>
    <t>SKU53249</t>
  </si>
  <si>
    <t>ORD202500748</t>
  </si>
  <si>
    <t>CUST1635</t>
  </si>
  <si>
    <t>SKU72896</t>
  </si>
  <si>
    <t>ORD202500749</t>
  </si>
  <si>
    <t>CUST6007</t>
  </si>
  <si>
    <t>2025-08-25</t>
  </si>
  <si>
    <t>SKU64491</t>
  </si>
  <si>
    <t>ORD202500750</t>
  </si>
  <si>
    <t>CUST2165</t>
  </si>
  <si>
    <t>SKU96593</t>
  </si>
  <si>
    <t>ORD202500751</t>
  </si>
  <si>
    <t>CUST6756</t>
  </si>
  <si>
    <t>SKU63461</t>
  </si>
  <si>
    <t>ORD202500752</t>
  </si>
  <si>
    <t>CUST6340</t>
  </si>
  <si>
    <t>SKU53205</t>
  </si>
  <si>
    <t>ORD202500753</t>
  </si>
  <si>
    <t>CUST4668</t>
  </si>
  <si>
    <t>SKU68966</t>
  </si>
  <si>
    <t>ORD202500754</t>
  </si>
  <si>
    <t>CUST5994</t>
  </si>
  <si>
    <t>SKU18130</t>
  </si>
  <si>
    <t>ORD202500755</t>
  </si>
  <si>
    <t>CUST1868</t>
  </si>
  <si>
    <t>SKU50769</t>
  </si>
  <si>
    <t>ORD202500756</t>
  </si>
  <si>
    <t>CUST1693</t>
  </si>
  <si>
    <t>SKU58427</t>
  </si>
  <si>
    <t>ORD202500757</t>
  </si>
  <si>
    <t>CUST8171</t>
  </si>
  <si>
    <t>SKU55351</t>
  </si>
  <si>
    <t>ORD202500758</t>
  </si>
  <si>
    <t>CUST7944</t>
  </si>
  <si>
    <t>SKU14377</t>
  </si>
  <si>
    <t>ORD202500759</t>
  </si>
  <si>
    <t>CUST7876</t>
  </si>
  <si>
    <t>SKU96844</t>
  </si>
  <si>
    <t>ORD202500760</t>
  </si>
  <si>
    <t>CUST2667</t>
  </si>
  <si>
    <t>SKU41945</t>
  </si>
  <si>
    <t>ORD202500761</t>
  </si>
  <si>
    <t>CUST7278</t>
  </si>
  <si>
    <t>2025-07-05</t>
  </si>
  <si>
    <t>SKU61575</t>
  </si>
  <si>
    <t>ORD202500762</t>
  </si>
  <si>
    <t>CUST2148</t>
  </si>
  <si>
    <t>SKU99489</t>
  </si>
  <si>
    <t>ORD202500763</t>
  </si>
  <si>
    <t>CUST3451</t>
  </si>
  <si>
    <t>SKU98923</t>
  </si>
  <si>
    <t>ORD202500764</t>
  </si>
  <si>
    <t>CUST9517</t>
  </si>
  <si>
    <t>SKU89474</t>
  </si>
  <si>
    <t>ORD202500765</t>
  </si>
  <si>
    <t>CUST3464</t>
  </si>
  <si>
    <t>SKU78112</t>
  </si>
  <si>
    <t>ORD202500766</t>
  </si>
  <si>
    <t>CUST1976</t>
  </si>
  <si>
    <t>SKU25860</t>
  </si>
  <si>
    <t>ORD202500767</t>
  </si>
  <si>
    <t>CUST1444</t>
  </si>
  <si>
    <t>SKU88950</t>
  </si>
  <si>
    <t>ORD202500768</t>
  </si>
  <si>
    <t>CUST5123</t>
  </si>
  <si>
    <t>SKU47022</t>
  </si>
  <si>
    <t>ORD202500769</t>
  </si>
  <si>
    <t>CUST8577</t>
  </si>
  <si>
    <t>2025-07-18</t>
  </si>
  <si>
    <t>SKU56695</t>
  </si>
  <si>
    <t>ORD202500770</t>
  </si>
  <si>
    <t>CUST7193</t>
  </si>
  <si>
    <t>SKU61205</t>
  </si>
  <si>
    <t>ORD202500771</t>
  </si>
  <si>
    <t>CUST1004</t>
  </si>
  <si>
    <t>SKU43013</t>
  </si>
  <si>
    <t>ORD202500772</t>
  </si>
  <si>
    <t>CUST9431</t>
  </si>
  <si>
    <t>SKU81792</t>
  </si>
  <si>
    <t>ORD202500773</t>
  </si>
  <si>
    <t>SKU91811</t>
  </si>
  <si>
    <t>ORD202500774</t>
  </si>
  <si>
    <t>CUST8541</t>
  </si>
  <si>
    <t>SKU28666</t>
  </si>
  <si>
    <t>ORD202500775</t>
  </si>
  <si>
    <t>CUST8431</t>
  </si>
  <si>
    <t>SKU47695</t>
  </si>
  <si>
    <t>ORD202500776</t>
  </si>
  <si>
    <t>CUST5328</t>
  </si>
  <si>
    <t>SKU26771</t>
  </si>
  <si>
    <t>ORD202500777</t>
  </si>
  <si>
    <t>2025-03-29</t>
  </si>
  <si>
    <t>SKU55064</t>
  </si>
  <si>
    <t>ORD202500778</t>
  </si>
  <si>
    <t>CUST3520</t>
  </si>
  <si>
    <t>SKU54856</t>
  </si>
  <si>
    <t>ORD202500779</t>
  </si>
  <si>
    <t>CUST9509</t>
  </si>
  <si>
    <t>SKU10630</t>
  </si>
  <si>
    <t>ORD202500780</t>
  </si>
  <si>
    <t>CUST3976</t>
  </si>
  <si>
    <t>SKU63717</t>
  </si>
  <si>
    <t>ORD202500781</t>
  </si>
  <si>
    <t>CUST9542</t>
  </si>
  <si>
    <t>SKU26222</t>
  </si>
  <si>
    <t>ORD202500782</t>
  </si>
  <si>
    <t>CUST5479</t>
  </si>
  <si>
    <t>SKU63370</t>
  </si>
  <si>
    <t>ORD202500783</t>
  </si>
  <si>
    <t>CUST6550</t>
  </si>
  <si>
    <t>SKU68629</t>
  </si>
  <si>
    <t>ORD202500784</t>
  </si>
  <si>
    <t>CUST7474</t>
  </si>
  <si>
    <t>SKU72276</t>
  </si>
  <si>
    <t>ORD202500785</t>
  </si>
  <si>
    <t>CUST3205</t>
  </si>
  <si>
    <t>SKU49960</t>
  </si>
  <si>
    <t>ORD202500786</t>
  </si>
  <si>
    <t>CUST4299</t>
  </si>
  <si>
    <t>SKU29259</t>
  </si>
  <si>
    <t>ORD202500787</t>
  </si>
  <si>
    <t>CUST8082</t>
  </si>
  <si>
    <t>SKU53442</t>
  </si>
  <si>
    <t>ORD202500788</t>
  </si>
  <si>
    <t>CUST8092</t>
  </si>
  <si>
    <t>SKU61073</t>
  </si>
  <si>
    <t>ORD202500789</t>
  </si>
  <si>
    <t>CUST5282</t>
  </si>
  <si>
    <t>SKU82064</t>
  </si>
  <si>
    <t>ORD202500790</t>
  </si>
  <si>
    <t>CUST6314</t>
  </si>
  <si>
    <t>SKU99168</t>
  </si>
  <si>
    <t>ORD202500791</t>
  </si>
  <si>
    <t>CUST5091</t>
  </si>
  <si>
    <t>SKU50021</t>
  </si>
  <si>
    <t>ORD202500792</t>
  </si>
  <si>
    <t>CUST5009</t>
  </si>
  <si>
    <t>SKU67584</t>
  </si>
  <si>
    <t>ORD202500793</t>
  </si>
  <si>
    <t>CUST5181</t>
  </si>
  <si>
    <t>SKU68768</t>
  </si>
  <si>
    <t>ORD202500794</t>
  </si>
  <si>
    <t>CUST9312</t>
  </si>
  <si>
    <t>SKU45641</t>
  </si>
  <si>
    <t>ORD202500795</t>
  </si>
  <si>
    <t>CUST8071</t>
  </si>
  <si>
    <t>SKU48840</t>
  </si>
  <si>
    <t>ORD202500796</t>
  </si>
  <si>
    <t>CUST1258</t>
  </si>
  <si>
    <t>2025-07-01</t>
  </si>
  <si>
    <t>SKU60332</t>
  </si>
  <si>
    <t>ORD202500797</t>
  </si>
  <si>
    <t>CUST9436</t>
  </si>
  <si>
    <t>2025-06-23</t>
  </si>
  <si>
    <t>SKU26826</t>
  </si>
  <si>
    <t>ORD202500798</t>
  </si>
  <si>
    <t>CUST8815</t>
  </si>
  <si>
    <t>SKU78213</t>
  </si>
  <si>
    <t>ORD202500799</t>
  </si>
  <si>
    <t>CUST6833</t>
  </si>
  <si>
    <t>SKU40344</t>
  </si>
  <si>
    <t>ORD202500800</t>
  </si>
  <si>
    <t>CUST9522</t>
  </si>
  <si>
    <t>2025-11-26</t>
  </si>
  <si>
    <t>SKU58569</t>
  </si>
  <si>
    <t>ORD202500801</t>
  </si>
  <si>
    <t>CUST4701</t>
  </si>
  <si>
    <t>2025-08-17</t>
  </si>
  <si>
    <t>SKU31995</t>
  </si>
  <si>
    <t>ORD202500802</t>
  </si>
  <si>
    <t>CUST8286</t>
  </si>
  <si>
    <t>2025-08-30</t>
  </si>
  <si>
    <t>SKU96526</t>
  </si>
  <si>
    <t>ORD202500803</t>
  </si>
  <si>
    <t>CUST9201</t>
  </si>
  <si>
    <t>SKU26958</t>
  </si>
  <si>
    <t>ORD202500804</t>
  </si>
  <si>
    <t>CUST5447</t>
  </si>
  <si>
    <t>SKU10675</t>
  </si>
  <si>
    <t>ORD202500805</t>
  </si>
  <si>
    <t>CUST6127</t>
  </si>
  <si>
    <t>SKU12717</t>
  </si>
  <si>
    <t>ORD202500806</t>
  </si>
  <si>
    <t>CUST9765</t>
  </si>
  <si>
    <t>2025-12-12</t>
  </si>
  <si>
    <t>SKU98607</t>
  </si>
  <si>
    <t>ORD202500807</t>
  </si>
  <si>
    <t>CUST7284</t>
  </si>
  <si>
    <t>SKU89646</t>
  </si>
  <si>
    <t>ORD202500808</t>
  </si>
  <si>
    <t>CUST7617</t>
  </si>
  <si>
    <t>SKU74675</t>
  </si>
  <si>
    <t>ORD202500809</t>
  </si>
  <si>
    <t>CUST9720</t>
  </si>
  <si>
    <t>SKU14735</t>
  </si>
  <si>
    <t>ORD202500810</t>
  </si>
  <si>
    <t>CUST4408</t>
  </si>
  <si>
    <t>SKU20000</t>
  </si>
  <si>
    <t>ORD202500811</t>
  </si>
  <si>
    <t>CUST4913</t>
  </si>
  <si>
    <t>SKU17245</t>
  </si>
  <si>
    <t>ORD202500812</t>
  </si>
  <si>
    <t>CUST3490</t>
  </si>
  <si>
    <t>SKU85720</t>
  </si>
  <si>
    <t>ORD202500813</t>
  </si>
  <si>
    <t>CUST9295</t>
  </si>
  <si>
    <t>ORD202500814</t>
  </si>
  <si>
    <t>CUST3485</t>
  </si>
  <si>
    <t>2025-09-06</t>
  </si>
  <si>
    <t>SKU85923</t>
  </si>
  <si>
    <t>ORD202500815</t>
  </si>
  <si>
    <t>CUST6628</t>
  </si>
  <si>
    <t>SKU47920</t>
  </si>
  <si>
    <t>ORD202500816</t>
  </si>
  <si>
    <t>CUST7095</t>
  </si>
  <si>
    <t>SKU64979</t>
  </si>
  <si>
    <t>ORD202500817</t>
  </si>
  <si>
    <t>CUST4512</t>
  </si>
  <si>
    <t>SKU72974</t>
  </si>
  <si>
    <t>ORD202500818</t>
  </si>
  <si>
    <t>CUST8733</t>
  </si>
  <si>
    <t>SKU39875</t>
  </si>
  <si>
    <t>ORD202500819</t>
  </si>
  <si>
    <t>CUST3507</t>
  </si>
  <si>
    <t>SKU70555</t>
  </si>
  <si>
    <t>ORD202500820</t>
  </si>
  <si>
    <t>SKU98555</t>
  </si>
  <si>
    <t>ORD202500821</t>
  </si>
  <si>
    <t>CUST2087</t>
  </si>
  <si>
    <t>SKU60759</t>
  </si>
  <si>
    <t>ORD202500822</t>
  </si>
  <si>
    <t>CUST4988</t>
  </si>
  <si>
    <t>SKU45609</t>
  </si>
  <si>
    <t>ORD202500823</t>
  </si>
  <si>
    <t>CUST2325</t>
  </si>
  <si>
    <t>SKU68661</t>
  </si>
  <si>
    <t>ORD202500824</t>
  </si>
  <si>
    <t>CUST7946</t>
  </si>
  <si>
    <t>SKU76147</t>
  </si>
  <si>
    <t>ORD202500825</t>
  </si>
  <si>
    <t>CUST3048</t>
  </si>
  <si>
    <t>SKU75376</t>
  </si>
  <si>
    <t>ORD202500826</t>
  </si>
  <si>
    <t>CUST6948</t>
  </si>
  <si>
    <t>SKU58662</t>
  </si>
  <si>
    <t>ORD202500827</t>
  </si>
  <si>
    <t>CUST6643</t>
  </si>
  <si>
    <t>SKU68000</t>
  </si>
  <si>
    <t>ORD202500828</t>
  </si>
  <si>
    <t>CUST9757</t>
  </si>
  <si>
    <t>SKU16287</t>
  </si>
  <si>
    <t>ORD202500829</t>
  </si>
  <si>
    <t>CUST9380</t>
  </si>
  <si>
    <t>SKU75063</t>
  </si>
  <si>
    <t>ORD202500830</t>
  </si>
  <si>
    <t>CUST9000</t>
  </si>
  <si>
    <t>SKU21724</t>
  </si>
  <si>
    <t>ORD202500831</t>
  </si>
  <si>
    <t>CUST8493</t>
  </si>
  <si>
    <t>SKU93021</t>
  </si>
  <si>
    <t>ORD202500832</t>
  </si>
  <si>
    <t>CUST2966</t>
  </si>
  <si>
    <t>SKU21337</t>
  </si>
  <si>
    <t>ORD202500833</t>
  </si>
  <si>
    <t>CUST8288</t>
  </si>
  <si>
    <t>SKU38893</t>
  </si>
  <si>
    <t>ORD202500834</t>
  </si>
  <si>
    <t>CUST9690</t>
  </si>
  <si>
    <t>SKU26037</t>
  </si>
  <si>
    <t>ORD202500835</t>
  </si>
  <si>
    <t>CUST8857</t>
  </si>
  <si>
    <t>2025-03-19</t>
  </si>
  <si>
    <t>SKU44881</t>
  </si>
  <si>
    <t>ORD202500836</t>
  </si>
  <si>
    <t>CUST1721</t>
  </si>
  <si>
    <t>SKU42984</t>
  </si>
  <si>
    <t>ORD202500837</t>
  </si>
  <si>
    <t>CUST5474</t>
  </si>
  <si>
    <t>2025-07-29</t>
  </si>
  <si>
    <t>SKU39056</t>
  </si>
  <si>
    <t>ORD202500838</t>
  </si>
  <si>
    <t>CUST6097</t>
  </si>
  <si>
    <t>SKU65486</t>
  </si>
  <si>
    <t>ORD202500839</t>
  </si>
  <si>
    <t>SKU94081</t>
  </si>
  <si>
    <t>ORD202500840</t>
  </si>
  <si>
    <t>CUST1350</t>
  </si>
  <si>
    <t>SKU62563</t>
  </si>
  <si>
    <t>ORD202500841</t>
  </si>
  <si>
    <t>SKU82576</t>
  </si>
  <si>
    <t>ORD202500842</t>
  </si>
  <si>
    <t>CUST5730</t>
  </si>
  <si>
    <t>SKU57088</t>
  </si>
  <si>
    <t>ORD202500843</t>
  </si>
  <si>
    <t>CUST2657</t>
  </si>
  <si>
    <t>SKU50288</t>
  </si>
  <si>
    <t>ORD202500844</t>
  </si>
  <si>
    <t>CUST7367</t>
  </si>
  <si>
    <t>SKU86292</t>
  </si>
  <si>
    <t>ORD202500845</t>
  </si>
  <si>
    <t>SKU15257</t>
  </si>
  <si>
    <t>ORD202500846</t>
  </si>
  <si>
    <t>CUST5961</t>
  </si>
  <si>
    <t>SKU53490</t>
  </si>
  <si>
    <t>ORD202500847</t>
  </si>
  <si>
    <t>CUST7581</t>
  </si>
  <si>
    <t>2025-07-22</t>
  </si>
  <si>
    <t>SKU80655</t>
  </si>
  <si>
    <t>ORD202500848</t>
  </si>
  <si>
    <t>CUST5901</t>
  </si>
  <si>
    <t>SKU30675</t>
  </si>
  <si>
    <t>ORD202500849</t>
  </si>
  <si>
    <t>CUST7121</t>
  </si>
  <si>
    <t>SKU21635</t>
  </si>
  <si>
    <t>ORD202500850</t>
  </si>
  <si>
    <t>CUST3175</t>
  </si>
  <si>
    <t>SKU62032</t>
  </si>
  <si>
    <t>ORD202500851</t>
  </si>
  <si>
    <t>CUST4516</t>
  </si>
  <si>
    <t>SKU91882</t>
  </si>
  <si>
    <t>ORD202500852</t>
  </si>
  <si>
    <t>CUST6823</t>
  </si>
  <si>
    <t>SKU51146</t>
  </si>
  <si>
    <t>ORD202500853</t>
  </si>
  <si>
    <t>CUST3352</t>
  </si>
  <si>
    <t>SKU24247</t>
  </si>
  <si>
    <t>ORD202500854</t>
  </si>
  <si>
    <t>SKU46711</t>
  </si>
  <si>
    <t>ORD202500855</t>
  </si>
  <si>
    <t>CUST1120</t>
  </si>
  <si>
    <t>2025-05-25</t>
  </si>
  <si>
    <t>SKU17575</t>
  </si>
  <si>
    <t>ORD202500856</t>
  </si>
  <si>
    <t>CUST2672</t>
  </si>
  <si>
    <t>SKU85721</t>
  </si>
  <si>
    <t>ORD202500857</t>
  </si>
  <si>
    <t>CUST7682</t>
  </si>
  <si>
    <t>SKU92250</t>
  </si>
  <si>
    <t>ORD202500858</t>
  </si>
  <si>
    <t>CUST2553</t>
  </si>
  <si>
    <t>SKU61511</t>
  </si>
  <si>
    <t>ORD202500859</t>
  </si>
  <si>
    <t>CUST9392</t>
  </si>
  <si>
    <t>SKU71453</t>
  </si>
  <si>
    <t>ORD202500860</t>
  </si>
  <si>
    <t>CUST4789</t>
  </si>
  <si>
    <t>SKU26488</t>
  </si>
  <si>
    <t>ORD202500861</t>
  </si>
  <si>
    <t>CUST4224</t>
  </si>
  <si>
    <t>SKU73449</t>
  </si>
  <si>
    <t>ORD202500862</t>
  </si>
  <si>
    <t>CUST7334</t>
  </si>
  <si>
    <t>SKU49792</t>
  </si>
  <si>
    <t>ORD202500863</t>
  </si>
  <si>
    <t>SKU88573</t>
  </si>
  <si>
    <t>ORD202500864</t>
  </si>
  <si>
    <t>CUST9258</t>
  </si>
  <si>
    <t>SKU57558</t>
  </si>
  <si>
    <t>ORD202500865</t>
  </si>
  <si>
    <t>CUST8683</t>
  </si>
  <si>
    <t>SKU61866</t>
  </si>
  <si>
    <t>ORD202500866</t>
  </si>
  <si>
    <t>CUST7255</t>
  </si>
  <si>
    <t>SKU13411</t>
  </si>
  <si>
    <t>ORD202500867</t>
  </si>
  <si>
    <t>CUST8097</t>
  </si>
  <si>
    <t>SKU13613</t>
  </si>
  <si>
    <t>ORD202500868</t>
  </si>
  <si>
    <t>CUST2929</t>
  </si>
  <si>
    <t>SKU27877</t>
  </si>
  <si>
    <t>ORD202500869</t>
  </si>
  <si>
    <t>CUST1401</t>
  </si>
  <si>
    <t>SKU37150</t>
  </si>
  <si>
    <t>ORD202500870</t>
  </si>
  <si>
    <t>CUST4745</t>
  </si>
  <si>
    <t>SKU99093</t>
  </si>
  <si>
    <t>ORD202500871</t>
  </si>
  <si>
    <t>CUST2055</t>
  </si>
  <si>
    <t>SKU10195</t>
  </si>
  <si>
    <t>ORD202500872</t>
  </si>
  <si>
    <t>CUST7836</t>
  </si>
  <si>
    <t>SKU67414</t>
  </si>
  <si>
    <t>ORD202500873</t>
  </si>
  <si>
    <t>CUST2191</t>
  </si>
  <si>
    <t>SKU22408</t>
  </si>
  <si>
    <t>ORD202500874</t>
  </si>
  <si>
    <t>CUST3103</t>
  </si>
  <si>
    <t>SKU69860</t>
  </si>
  <si>
    <t>ORD202500875</t>
  </si>
  <si>
    <t>CUST2118</t>
  </si>
  <si>
    <t>SKU25068</t>
  </si>
  <si>
    <t>ORD202500876</t>
  </si>
  <si>
    <t>CUST6337</t>
  </si>
  <si>
    <t>SKU81915</t>
  </si>
  <si>
    <t>ORD202500877</t>
  </si>
  <si>
    <t>CUST4253</t>
  </si>
  <si>
    <t>2025-07-08</t>
  </si>
  <si>
    <t>SKU19962</t>
  </si>
  <si>
    <t>ORD202500878</t>
  </si>
  <si>
    <t>CUST8048</t>
  </si>
  <si>
    <t>SKU84806</t>
  </si>
  <si>
    <t>ORD202500879</t>
  </si>
  <si>
    <t>CUST5914</t>
  </si>
  <si>
    <t>SKU27310</t>
  </si>
  <si>
    <t>ORD202500880</t>
  </si>
  <si>
    <t>CUST4350</t>
  </si>
  <si>
    <t>SKU53451</t>
  </si>
  <si>
    <t>ORD202500881</t>
  </si>
  <si>
    <t>CUST2188</t>
  </si>
  <si>
    <t>2025-02-17</t>
  </si>
  <si>
    <t>SKU67890</t>
  </si>
  <si>
    <t>ORD202500882</t>
  </si>
  <si>
    <t>CUST4175</t>
  </si>
  <si>
    <t>SKU55410</t>
  </si>
  <si>
    <t>ORD202500883</t>
  </si>
  <si>
    <t>CUST2112</t>
  </si>
  <si>
    <t>SKU29636</t>
  </si>
  <si>
    <t>ORD202500884</t>
  </si>
  <si>
    <t>2025-02-11</t>
  </si>
  <si>
    <t>SKU98384</t>
  </si>
  <si>
    <t>ORD202500885</t>
  </si>
  <si>
    <t>CUST2869</t>
  </si>
  <si>
    <t>SKU70875</t>
  </si>
  <si>
    <t>ORD202500886</t>
  </si>
  <si>
    <t>CUST5921</t>
  </si>
  <si>
    <t>SKU15979</t>
  </si>
  <si>
    <t>ORD202500887</t>
  </si>
  <si>
    <t>CUST2696</t>
  </si>
  <si>
    <t>SKU81114</t>
  </si>
  <si>
    <t>ORD202500888</t>
  </si>
  <si>
    <t>CUST7509</t>
  </si>
  <si>
    <t>SKU40301</t>
  </si>
  <si>
    <t>ORD202500889</t>
  </si>
  <si>
    <t>CUST2738</t>
  </si>
  <si>
    <t>SKU19352</t>
  </si>
  <si>
    <t>ORD202500890</t>
  </si>
  <si>
    <t>CUST6915</t>
  </si>
  <si>
    <t>SKU96878</t>
  </si>
  <si>
    <t>ORD202500891</t>
  </si>
  <si>
    <t>CUST1128</t>
  </si>
  <si>
    <t>2025-12-07</t>
  </si>
  <si>
    <t>SKU50489</t>
  </si>
  <si>
    <t>ORD202500892</t>
  </si>
  <si>
    <t>CUST4661</t>
  </si>
  <si>
    <t>SKU90771</t>
  </si>
  <si>
    <t>ORD202500893</t>
  </si>
  <si>
    <t>CUST6496</t>
  </si>
  <si>
    <t>SKU57914</t>
  </si>
  <si>
    <t>ORD202500894</t>
  </si>
  <si>
    <t>2025-11-06</t>
  </si>
  <si>
    <t>SKU81693</t>
  </si>
  <si>
    <t>ORD202500895</t>
  </si>
  <si>
    <t>CUST7053</t>
  </si>
  <si>
    <t>2025-11-08</t>
  </si>
  <si>
    <t>SKU11620</t>
  </si>
  <si>
    <t>ORD202500896</t>
  </si>
  <si>
    <t>CUST7588</t>
  </si>
  <si>
    <t>SKU32738</t>
  </si>
  <si>
    <t>ORD202500897</t>
  </si>
  <si>
    <t>CUST4635</t>
  </si>
  <si>
    <t>SKU55449</t>
  </si>
  <si>
    <t>ORD202500898</t>
  </si>
  <si>
    <t>CUST8475</t>
  </si>
  <si>
    <t>SKU59908</t>
  </si>
  <si>
    <t>ORD202500899</t>
  </si>
  <si>
    <t>CUST5242</t>
  </si>
  <si>
    <t>SKU15991</t>
  </si>
  <si>
    <t>ORD202500900</t>
  </si>
  <si>
    <t>CUST2873</t>
  </si>
  <si>
    <t>SKU82384</t>
  </si>
  <si>
    <t>ORD202500901</t>
  </si>
  <si>
    <t>CUST6332</t>
  </si>
  <si>
    <t>SKU41625</t>
  </si>
  <si>
    <t>ORD202500902</t>
  </si>
  <si>
    <t>CUST6135</t>
  </si>
  <si>
    <t>SKU89409</t>
  </si>
  <si>
    <t>ORD202500903</t>
  </si>
  <si>
    <t>CUST4197</t>
  </si>
  <si>
    <t>SKU10533</t>
  </si>
  <si>
    <t>ORD202500904</t>
  </si>
  <si>
    <t>CUST1177</t>
  </si>
  <si>
    <t>SKU63650</t>
  </si>
  <si>
    <t>ORD202500905</t>
  </si>
  <si>
    <t>CUST6481</t>
  </si>
  <si>
    <t>SKU60235</t>
  </si>
  <si>
    <t>ORD202500906</t>
  </si>
  <si>
    <t>CUST7298</t>
  </si>
  <si>
    <t>SKU76301</t>
  </si>
  <si>
    <t>ORD202500907</t>
  </si>
  <si>
    <t>CUST8886</t>
  </si>
  <si>
    <t>SKU70753</t>
  </si>
  <si>
    <t>ORD202500908</t>
  </si>
  <si>
    <t>CUST4991</t>
  </si>
  <si>
    <t>2025-02-02</t>
  </si>
  <si>
    <t>SKU63996</t>
  </si>
  <si>
    <t>ORD202500909</t>
  </si>
  <si>
    <t>CUST6228</t>
  </si>
  <si>
    <t>SKU56738</t>
  </si>
  <si>
    <t>ORD202500910</t>
  </si>
  <si>
    <t>CUST9686</t>
  </si>
  <si>
    <t>SKU88470</t>
  </si>
  <si>
    <t>ORD202500911</t>
  </si>
  <si>
    <t>CUST5022</t>
  </si>
  <si>
    <t>SKU28207</t>
  </si>
  <si>
    <t>ORD202500912</t>
  </si>
  <si>
    <t>CUST3874</t>
  </si>
  <si>
    <t>SKU65340</t>
  </si>
  <si>
    <t>ORD202500913</t>
  </si>
  <si>
    <t>SKU82378</t>
  </si>
  <si>
    <t>ORD202500914</t>
  </si>
  <si>
    <t>CUST3557</t>
  </si>
  <si>
    <t>SKU62452</t>
  </si>
  <si>
    <t>ORD202500915</t>
  </si>
  <si>
    <t>CUST1484</t>
  </si>
  <si>
    <t>SKU81149</t>
  </si>
  <si>
    <t>ORD202500916</t>
  </si>
  <si>
    <t>CUST7100</t>
  </si>
  <si>
    <t>SKU69530</t>
  </si>
  <si>
    <t>ORD202500917</t>
  </si>
  <si>
    <t>CUST3290</t>
  </si>
  <si>
    <t>SKU39305</t>
  </si>
  <si>
    <t>ORD202500918</t>
  </si>
  <si>
    <t>CUST8043</t>
  </si>
  <si>
    <t>2025-12-09</t>
  </si>
  <si>
    <t>SKU56908</t>
  </si>
  <si>
    <t>ORD202500919</t>
  </si>
  <si>
    <t>CUST6653</t>
  </si>
  <si>
    <t>2025-04-25</t>
  </si>
  <si>
    <t>SKU65053</t>
  </si>
  <si>
    <t>ORD202500920</t>
  </si>
  <si>
    <t>SKU96245</t>
  </si>
  <si>
    <t>ORD202500921</t>
  </si>
  <si>
    <t>CUST9724</t>
  </si>
  <si>
    <t>SKU44213</t>
  </si>
  <si>
    <t>ORD202500922</t>
  </si>
  <si>
    <t>SKU39543</t>
  </si>
  <si>
    <t>ORD202500923</t>
  </si>
  <si>
    <t>CUST1008</t>
  </si>
  <si>
    <t>SKU27370</t>
  </si>
  <si>
    <t>ORD202500924</t>
  </si>
  <si>
    <t>CUST9867</t>
  </si>
  <si>
    <t>SKU93857</t>
  </si>
  <si>
    <t>ORD202500925</t>
  </si>
  <si>
    <t>CUST2839</t>
  </si>
  <si>
    <t>SKU21188</t>
  </si>
  <si>
    <t>ORD202500926</t>
  </si>
  <si>
    <t>CUST8143</t>
  </si>
  <si>
    <t>SKU89065</t>
  </si>
  <si>
    <t>ORD202500927</t>
  </si>
  <si>
    <t>CUST7791</t>
  </si>
  <si>
    <t>SKU62240</t>
  </si>
  <si>
    <t>ORD202500928</t>
  </si>
  <si>
    <t>CUST8564</t>
  </si>
  <si>
    <t>SKU17736</t>
  </si>
  <si>
    <t>ORD202500929</t>
  </si>
  <si>
    <t>CUST7004</t>
  </si>
  <si>
    <t>SKU86145</t>
  </si>
  <si>
    <t>ORD202500930</t>
  </si>
  <si>
    <t>CUST4441</t>
  </si>
  <si>
    <t>SKU97044</t>
  </si>
  <si>
    <t>ORD202500931</t>
  </si>
  <si>
    <t>SKU16397</t>
  </si>
  <si>
    <t>ORD202500932</t>
  </si>
  <si>
    <t>CUST4504</t>
  </si>
  <si>
    <t>SKU16906</t>
  </si>
  <si>
    <t>ORD202500933</t>
  </si>
  <si>
    <t>CUST6669</t>
  </si>
  <si>
    <t>SKU18589</t>
  </si>
  <si>
    <t>ORD202500934</t>
  </si>
  <si>
    <t>CUST4136</t>
  </si>
  <si>
    <t>SKU86760</t>
  </si>
  <si>
    <t>ORD202500935</t>
  </si>
  <si>
    <t>SKU38759</t>
  </si>
  <si>
    <t>ORD202500936</t>
  </si>
  <si>
    <t>CUST2430</t>
  </si>
  <si>
    <t>SKU22001</t>
  </si>
  <si>
    <t>ORD202500937</t>
  </si>
  <si>
    <t>CUST6143</t>
  </si>
  <si>
    <t>SKU76012</t>
  </si>
  <si>
    <t>ORD202500938</t>
  </si>
  <si>
    <t>CUST5612</t>
  </si>
  <si>
    <t>SKU59964</t>
  </si>
  <si>
    <t>ORD202500939</t>
  </si>
  <si>
    <t>CUST8046</t>
  </si>
  <si>
    <t>SKU99943</t>
  </si>
  <si>
    <t>ORD202500940</t>
  </si>
  <si>
    <t>CUST5868</t>
  </si>
  <si>
    <t>SKU48188</t>
  </si>
  <si>
    <t>ORD202500941</t>
  </si>
  <si>
    <t>CUST2143</t>
  </si>
  <si>
    <t>SKU82973</t>
  </si>
  <si>
    <t>ORD202500942</t>
  </si>
  <si>
    <t>CUST4472</t>
  </si>
  <si>
    <t>SKU18625</t>
  </si>
  <si>
    <t>ORD202500943</t>
  </si>
  <si>
    <t>CUST6406</t>
  </si>
  <si>
    <t>SKU20388</t>
  </si>
  <si>
    <t>ORD202500944</t>
  </si>
  <si>
    <t>CUST1526</t>
  </si>
  <si>
    <t>SKU27485</t>
  </si>
  <si>
    <t>ORD202500945</t>
  </si>
  <si>
    <t>CUST3529</t>
  </si>
  <si>
    <t>SKU52355</t>
  </si>
  <si>
    <t>ORD202500946</t>
  </si>
  <si>
    <t>CUST1895</t>
  </si>
  <si>
    <t>SKU98855</t>
  </si>
  <si>
    <t>ORD202500947</t>
  </si>
  <si>
    <t>CUST8924</t>
  </si>
  <si>
    <t>SKU30179</t>
  </si>
  <si>
    <t>ORD202500948</t>
  </si>
  <si>
    <t>CUST6562</t>
  </si>
  <si>
    <t>SKU66479</t>
  </si>
  <si>
    <t>ORD202500949</t>
  </si>
  <si>
    <t>SKU14681</t>
  </si>
  <si>
    <t>ORD202500950</t>
  </si>
  <si>
    <t>CUST8808</t>
  </si>
  <si>
    <t>SKU53026</t>
  </si>
  <si>
    <t>ORD202500951</t>
  </si>
  <si>
    <t>CUST7637</t>
  </si>
  <si>
    <t>SKU48068</t>
  </si>
  <si>
    <t>ORD202500952</t>
  </si>
  <si>
    <t>CUST9919</t>
  </si>
  <si>
    <t>SKU42737</t>
  </si>
  <si>
    <t>ORD202500953</t>
  </si>
  <si>
    <t>CUST7076</t>
  </si>
  <si>
    <t>SKU53382</t>
  </si>
  <si>
    <t>ORD202500954</t>
  </si>
  <si>
    <t>CUST6815</t>
  </si>
  <si>
    <t>SKU13266</t>
  </si>
  <si>
    <t>ORD202500955</t>
  </si>
  <si>
    <t>CUST8278</t>
  </si>
  <si>
    <t>SKU41399</t>
  </si>
  <si>
    <t>ORD202500956</t>
  </si>
  <si>
    <t>CUST5386</t>
  </si>
  <si>
    <t>SKU93746</t>
  </si>
  <si>
    <t>ORD202500957</t>
  </si>
  <si>
    <t>CUST7514</t>
  </si>
  <si>
    <t>SKU43770</t>
  </si>
  <si>
    <t>ORD202500958</t>
  </si>
  <si>
    <t>CUST5912</t>
  </si>
  <si>
    <t>SKU86289</t>
  </si>
  <si>
    <t>ORD202500959</t>
  </si>
  <si>
    <t>SKU49535</t>
  </si>
  <si>
    <t>ORD202500960</t>
  </si>
  <si>
    <t>CUST5489</t>
  </si>
  <si>
    <t>2025-11-21</t>
  </si>
  <si>
    <t>SKU16739</t>
  </si>
  <si>
    <t>ORD202500961</t>
  </si>
  <si>
    <t>CUST9573</t>
  </si>
  <si>
    <t>SKU83127</t>
  </si>
  <si>
    <t>ORD202500962</t>
  </si>
  <si>
    <t>CUST1800</t>
  </si>
  <si>
    <t>SKU41663</t>
  </si>
  <si>
    <t>ORD202500963</t>
  </si>
  <si>
    <t>CUST7346</t>
  </si>
  <si>
    <t>SKU54465</t>
  </si>
  <si>
    <t>ORD202500964</t>
  </si>
  <si>
    <t>CUST3505</t>
  </si>
  <si>
    <t>SKU13921</t>
  </si>
  <si>
    <t>ORD202500965</t>
  </si>
  <si>
    <t>CUST1385</t>
  </si>
  <si>
    <t>SKU21655</t>
  </si>
  <si>
    <t>ORD202500966</t>
  </si>
  <si>
    <t>CUST5924</t>
  </si>
  <si>
    <t>SKU73392</t>
  </si>
  <si>
    <t>ORD202500967</t>
  </si>
  <si>
    <t>SKU19333</t>
  </si>
  <si>
    <t>ORD202500968</t>
  </si>
  <si>
    <t>CUST4026</t>
  </si>
  <si>
    <t>SKU52949</t>
  </si>
  <si>
    <t>ORD202500969</t>
  </si>
  <si>
    <t>SKU64512</t>
  </si>
  <si>
    <t>ORD202500970</t>
  </si>
  <si>
    <t>CUST8581</t>
  </si>
  <si>
    <t>SKU81851</t>
  </si>
  <si>
    <t>ORD202500971</t>
  </si>
  <si>
    <t>CUST2128</t>
  </si>
  <si>
    <t>SKU87247</t>
  </si>
  <si>
    <t>ORD202500972</t>
  </si>
  <si>
    <t>CUST8612</t>
  </si>
  <si>
    <t>SKU38811</t>
  </si>
  <si>
    <t>ORD202500973</t>
  </si>
  <si>
    <t>CUST5431</t>
  </si>
  <si>
    <t>SKU61856</t>
  </si>
  <si>
    <t>ORD202500974</t>
  </si>
  <si>
    <t>CUST8126</t>
  </si>
  <si>
    <t>SKU94039</t>
  </si>
  <si>
    <t>ORD202500975</t>
  </si>
  <si>
    <t>CUST1929</t>
  </si>
  <si>
    <t>SKU22459</t>
  </si>
  <si>
    <t>ORD202500976</t>
  </si>
  <si>
    <t>SKU79701</t>
  </si>
  <si>
    <t>ORD202500977</t>
  </si>
  <si>
    <t>CUST5573</t>
  </si>
  <si>
    <t>SKU48560</t>
  </si>
  <si>
    <t>ORD202500978</t>
  </si>
  <si>
    <t>CUST1430</t>
  </si>
  <si>
    <t>SKU99721</t>
  </si>
  <si>
    <t>ORD202500979</t>
  </si>
  <si>
    <t>CUST8896</t>
  </si>
  <si>
    <t>SKU36849</t>
  </si>
  <si>
    <t>ORD202500980</t>
  </si>
  <si>
    <t>CUST4238</t>
  </si>
  <si>
    <t>SKU15036</t>
  </si>
  <si>
    <t>ORD202500981</t>
  </si>
  <si>
    <t>CUST4090</t>
  </si>
  <si>
    <t>SKU35066</t>
  </si>
  <si>
    <t>ORD202500982</t>
  </si>
  <si>
    <t>CUST2179</t>
  </si>
  <si>
    <t>SKU15256</t>
  </si>
  <si>
    <t>ORD202500983</t>
  </si>
  <si>
    <t>CUST3809</t>
  </si>
  <si>
    <t>SKU24866</t>
  </si>
  <si>
    <t>ORD202500984</t>
  </si>
  <si>
    <t>CUST2220</t>
  </si>
  <si>
    <t>SKU62865</t>
  </si>
  <si>
    <t>ORD202500985</t>
  </si>
  <si>
    <t>CUST2781</t>
  </si>
  <si>
    <t>ORD202500986</t>
  </si>
  <si>
    <t>CUST7778</t>
  </si>
  <si>
    <t>SKU84023</t>
  </si>
  <si>
    <t>ORD202500987</t>
  </si>
  <si>
    <t>CUST1093</t>
  </si>
  <si>
    <t>SKU25108</t>
  </si>
  <si>
    <t>ORD202500988</t>
  </si>
  <si>
    <t>2025-09-12</t>
  </si>
  <si>
    <t>SKU69452</t>
  </si>
  <si>
    <t>ORD202500989</t>
  </si>
  <si>
    <t>CUST1843</t>
  </si>
  <si>
    <t>SKU31710</t>
  </si>
  <si>
    <t>ORD202500990</t>
  </si>
  <si>
    <t>CUST6177</t>
  </si>
  <si>
    <t>SKU29435</t>
  </si>
  <si>
    <t>ORD202500991</t>
  </si>
  <si>
    <t>CUST6062</t>
  </si>
  <si>
    <t>SKU41889</t>
  </si>
  <si>
    <t>ORD202500992</t>
  </si>
  <si>
    <t>CUST7522</t>
  </si>
  <si>
    <t>2025-05-27</t>
  </si>
  <si>
    <t>SKU35019</t>
  </si>
  <si>
    <t>ORD202500993</t>
  </si>
  <si>
    <t>CUST7035</t>
  </si>
  <si>
    <t>SKU87106</t>
  </si>
  <si>
    <t>ORD202500994</t>
  </si>
  <si>
    <t>CUST9116</t>
  </si>
  <si>
    <t>SKU21537</t>
  </si>
  <si>
    <t>ORD202500995</t>
  </si>
  <si>
    <t>CUST6726</t>
  </si>
  <si>
    <t>SKU38337</t>
  </si>
  <si>
    <t>ORD202500996</t>
  </si>
  <si>
    <t>CUST9832</t>
  </si>
  <si>
    <t>SKU23865</t>
  </si>
  <si>
    <t>ORD202500997</t>
  </si>
  <si>
    <t>CUST7499</t>
  </si>
  <si>
    <t>SKU56659</t>
  </si>
  <si>
    <t>ORD202500998</t>
  </si>
  <si>
    <t>CUST1390</t>
  </si>
  <si>
    <t>SKU59602</t>
  </si>
  <si>
    <t>ORD202500999</t>
  </si>
  <si>
    <t>CUST1784</t>
  </si>
  <si>
    <t>SKU44985</t>
  </si>
  <si>
    <t>ORD202501000</t>
  </si>
  <si>
    <t>CUST6087</t>
  </si>
  <si>
    <t>SKU61880</t>
  </si>
  <si>
    <t>Index</t>
  </si>
  <si>
    <t>Ship-Postal-Code</t>
  </si>
  <si>
    <t>Ship-State</t>
  </si>
  <si>
    <t>Ship-Country</t>
  </si>
  <si>
    <t>Ship-City</t>
  </si>
  <si>
    <t>Currency</t>
  </si>
  <si>
    <t>Age Group</t>
  </si>
  <si>
    <t>Month</t>
  </si>
  <si>
    <t>Sum of Amount</t>
  </si>
  <si>
    <t>Count of Order ID</t>
  </si>
  <si>
    <t>Row Labels</t>
  </si>
  <si>
    <t>Jan</t>
  </si>
  <si>
    <t>Feb</t>
  </si>
  <si>
    <t>Mar</t>
  </si>
  <si>
    <t>Apr</t>
  </si>
  <si>
    <t>May</t>
  </si>
  <si>
    <t>Jun</t>
  </si>
  <si>
    <t>Jul</t>
  </si>
  <si>
    <t>Aug</t>
  </si>
  <si>
    <t>Sep</t>
  </si>
  <si>
    <t>Oct</t>
  </si>
  <si>
    <t>Nov</t>
  </si>
  <si>
    <t>Dec</t>
  </si>
  <si>
    <t xml:space="preserve"> </t>
  </si>
  <si>
    <t>Vrinda Store Annual Report 2025</t>
  </si>
  <si>
    <t>Adult</t>
  </si>
  <si>
    <t>Senior</t>
  </si>
  <si>
    <t>Teenager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</si>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</sst>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3" x14ac:knownFonts="1">
    <font>
      <sz val="11"/>
      <color theme="1"/>
      <name val="Calibri"/>
      <family val="2"/>
      <scheme val="minor"/>
    </font>
    <font>
      <sz val="8"/>
      <name val="Calibri"/>
      <family val="2"/>
      <scheme val="minor"/>
    </font>
    <font>
      <sz val="16"/>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rgb="FFD4D4D4"/>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3" borderId="0" xfId="0" applyFill="1"/>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xf numFmtId="10" fontId="0" fillId="0" borderId="0" xfId="0" applyNumberFormat="1"/>
    <xf numFmtId="165" fontId="0" fillId="0" borderId="0" xfId="0" applyNumberFormat="1"/>
  </cellXfs>
  <cellStyles count="1">
    <cellStyle name="Normal" xfId="0" builtinId="0"/>
  </cellStyles>
  <dxfs count="7">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s>
  <tableStyles count="0" defaultTableStyle="TableStyleMedium9" defaultPivotStyle="PivotStyleLight16"/>
  <colors>
    <mruColors>
      <color rgb="FFE57765"/>
      <color rgb="FFED7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2025.xlsx]Sales vs Order!PivotTable1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2280268099063554"/>
          <c:y val="1.6228072136975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8388025331031"/>
          <c:y val="0.17647995841612382"/>
          <c:w val="0.77432798297180105"/>
          <c:h val="0.69446533294062252"/>
        </c:manualLayout>
      </c:layout>
      <c:barChart>
        <c:barDir val="col"/>
        <c:grouping val="clustered"/>
        <c:varyColors val="0"/>
        <c:ser>
          <c:idx val="0"/>
          <c:order val="0"/>
          <c:tx>
            <c:strRef>
              <c:f>'Sales vs Order'!$B$3</c:f>
              <c:strCache>
                <c:ptCount val="1"/>
                <c:pt idx="0">
                  <c:v>Sum of Amount</c:v>
                </c:pt>
              </c:strCache>
            </c:strRef>
          </c:tx>
          <c:spPr>
            <a:solidFill>
              <a:srgbClr val="0070C0"/>
            </a:solidFill>
            <a:ln>
              <a:noFill/>
            </a:ln>
            <a:effectLst/>
          </c:spPr>
          <c:invertIfNegative val="0"/>
          <c:cat>
            <c:strRef>
              <c:f>'Sales vs Order'!$A$4:$A$15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Order'!$B$4:$B$15</c:f>
              <c:numCache>
                <c:formatCode>General</c:formatCode>
                <c:ptCount val="12"/>
                <c:pt idx="0">
                  <c:v>240133.74999999994</c:v>
                </c:pt>
                <c:pt idx="1">
                  <c:v>218328.63999999996</c:v>
                </c:pt>
                <c:pt idx="2">
                  <c:v>230778.83000000007</c:v>
                </c:pt>
                <c:pt idx="3">
                  <c:v>195355.71999999994</c:v>
                </c:pt>
                <c:pt idx="4">
                  <c:v>203016.02999999997</c:v>
                </c:pt>
                <c:pt idx="5">
                  <c:v>202792.4500000001</c:v>
                </c:pt>
                <c:pt idx="6">
                  <c:v>180952.22</c:v>
                </c:pt>
                <c:pt idx="7">
                  <c:v>270543.21999999997</c:v>
                </c:pt>
                <c:pt idx="8">
                  <c:v>242614.75000000006</c:v>
                </c:pt>
                <c:pt idx="9">
                  <c:v>204858.7</c:v>
                </c:pt>
                <c:pt idx="10">
                  <c:v>243064.5499999999</c:v>
                </c:pt>
                <c:pt idx="11">
                  <c:v>225865.2900000001</c:v>
                </c:pt>
              </c:numCache>
            </c:numRef>
          </c:val>
          <c:extLst>
            <c:ext xmlns:c16="http://schemas.microsoft.com/office/drawing/2014/chart" uri="{C3380CC4-5D6E-409C-BE32-E72D297353CC}">
              <c16:uniqueId val="{00000000-108F-4CAA-AA5A-A48DB40BB7DF}"/>
            </c:ext>
          </c:extLst>
        </c:ser>
        <c:dLbls>
          <c:showLegendKey val="0"/>
          <c:showVal val="0"/>
          <c:showCatName val="0"/>
          <c:showSerName val="0"/>
          <c:showPercent val="0"/>
          <c:showBubbleSize val="0"/>
        </c:dLbls>
        <c:gapWidth val="219"/>
        <c:overlap val="-27"/>
        <c:axId val="993481807"/>
        <c:axId val="855011727"/>
      </c:barChart>
      <c:lineChart>
        <c:grouping val="standard"/>
        <c:varyColors val="0"/>
        <c:ser>
          <c:idx val="1"/>
          <c:order val="1"/>
          <c:tx>
            <c:strRef>
              <c:f>'Sales vs Order'!$C$3</c:f>
              <c:strCache>
                <c:ptCount val="1"/>
                <c:pt idx="0">
                  <c:v>Count of Order ID</c:v>
                </c:pt>
              </c:strCache>
            </c:strRef>
          </c:tx>
          <c:spPr>
            <a:ln w="28575" cap="rnd">
              <a:solidFill>
                <a:schemeClr val="accent2"/>
              </a:solidFill>
              <a:round/>
            </a:ln>
            <a:effectLst/>
          </c:spPr>
          <c:marker>
            <c:symbol val="none"/>
          </c:marker>
          <c:cat>
            <c:strRef>
              <c:f>'Sales vs Order'!$A$4:$A$15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Order'!$C$4:$C$15</c:f>
              <c:numCache>
                <c:formatCode>General</c:formatCode>
                <c:ptCount val="12"/>
                <c:pt idx="0">
                  <c:v>87</c:v>
                </c:pt>
                <c:pt idx="1">
                  <c:v>79</c:v>
                </c:pt>
                <c:pt idx="2">
                  <c:v>95</c:v>
                </c:pt>
                <c:pt idx="3">
                  <c:v>75</c:v>
                </c:pt>
                <c:pt idx="4">
                  <c:v>75</c:v>
                </c:pt>
                <c:pt idx="5">
                  <c:v>75</c:v>
                </c:pt>
                <c:pt idx="6">
                  <c:v>76</c:v>
                </c:pt>
                <c:pt idx="7">
                  <c:v>98</c:v>
                </c:pt>
                <c:pt idx="8">
                  <c:v>79</c:v>
                </c:pt>
                <c:pt idx="9">
                  <c:v>83</c:v>
                </c:pt>
                <c:pt idx="10">
                  <c:v>89</c:v>
                </c:pt>
                <c:pt idx="11">
                  <c:v>89</c:v>
                </c:pt>
              </c:numCache>
            </c:numRef>
          </c:val>
          <c:smooth val="0"/>
          <c:extLst>
            <c:ext xmlns:c16="http://schemas.microsoft.com/office/drawing/2014/chart" uri="{C3380CC4-5D6E-409C-BE32-E72D297353CC}">
              <c16:uniqueId val="{00000001-108F-4CAA-AA5A-A48DB40BB7DF}"/>
            </c:ext>
          </c:extLst>
        </c:ser>
        <c:dLbls>
          <c:showLegendKey val="0"/>
          <c:showVal val="0"/>
          <c:showCatName val="0"/>
          <c:showSerName val="0"/>
          <c:showPercent val="0"/>
          <c:showBubbleSize val="0"/>
        </c:dLbls>
        <c:marker val="1"/>
        <c:smooth val="0"/>
        <c:axId val="1017690511"/>
        <c:axId val="855037167"/>
      </c:lineChart>
      <c:catAx>
        <c:axId val="99348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11727"/>
        <c:crosses val="autoZero"/>
        <c:auto val="1"/>
        <c:lblAlgn val="ctr"/>
        <c:lblOffset val="100"/>
        <c:noMultiLvlLbl val="0"/>
      </c:catAx>
      <c:valAx>
        <c:axId val="85501172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81807"/>
        <c:crosses val="autoZero"/>
        <c:crossBetween val="between"/>
      </c:valAx>
      <c:valAx>
        <c:axId val="8550371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690511"/>
        <c:crosses val="max"/>
        <c:crossBetween val="between"/>
      </c:valAx>
      <c:catAx>
        <c:axId val="1017690511"/>
        <c:scaling>
          <c:orientation val="minMax"/>
        </c:scaling>
        <c:delete val="1"/>
        <c:axPos val="b"/>
        <c:numFmt formatCode="General" sourceLinked="1"/>
        <c:majorTickMark val="out"/>
        <c:minorTickMark val="none"/>
        <c:tickLblPos val="nextTo"/>
        <c:crossAx val="855037167"/>
        <c:crosses val="autoZero"/>
        <c:auto val="1"/>
        <c:lblAlgn val="ctr"/>
        <c:lblOffset val="100"/>
        <c:noMultiLvlLbl val="0"/>
      </c:catAx>
      <c:spPr>
        <a:noFill/>
        <a:ln>
          <a:noFill/>
        </a:ln>
        <a:effectLst/>
      </c:spPr>
    </c:plotArea>
    <c:legend>
      <c:legendPos val="r"/>
      <c:layout>
        <c:manualLayout>
          <c:xMode val="edge"/>
          <c:yMode val="edge"/>
          <c:x val="0.48653367347477722"/>
          <c:y val="1.9483589521776604E-2"/>
          <c:w val="0.50139236160627043"/>
          <c:h val="0.13692531700644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2025.xlsx]Men vs  Women!PivotTable1</c:name>
    <c:fmtId val="6"/>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Sales : Men vs Women</a:t>
            </a:r>
          </a:p>
        </c:rich>
      </c:tx>
      <c:layout>
        <c:manualLayout>
          <c:xMode val="edge"/>
          <c:yMode val="edge"/>
          <c:x val="0.10279855643044619"/>
          <c:y val="3.2407407407407406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ED7D32"/>
          </a:solidFill>
          <a:ln w="19050">
            <a:solidFill>
              <a:schemeClr val="lt1"/>
            </a:solidFill>
          </a:ln>
          <a:effectLst/>
        </c:spPr>
        <c:dLbl>
          <c:idx val="0"/>
          <c:layout>
            <c:manualLayout>
              <c:x val="0.11388888888888889"/>
              <c:y val="-0.12962962962962971"/>
            </c:manualLayout>
          </c:layout>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2">
              <a:lumMod val="60000"/>
              <a:lumOff val="40000"/>
            </a:schemeClr>
          </a:solidFill>
          <a:ln w="19050">
            <a:solidFill>
              <a:schemeClr val="lt1"/>
            </a:solidFill>
          </a:ln>
          <a:effectLst/>
        </c:spPr>
        <c:dLbl>
          <c:idx val="0"/>
          <c:layout>
            <c:manualLayout>
              <c:x val="-9.1666666666666771E-2"/>
              <c:y val="0.1388888888888889"/>
            </c:manualLayout>
          </c:layout>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60000"/>
              <a:lumOff val="4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2">
              <a:lumMod val="60000"/>
              <a:lumOff val="40000"/>
            </a:schemeClr>
          </a:solidFill>
          <a:ln w="19050">
            <a:solidFill>
              <a:schemeClr val="lt1"/>
            </a:solidFill>
          </a:ln>
          <a:effectLst/>
        </c:spPr>
        <c:dLbl>
          <c:idx val="0"/>
          <c:layout>
            <c:manualLayout>
              <c:x val="-9.1666666666666771E-2"/>
              <c:y val="0.1388888888888889"/>
            </c:manualLayout>
          </c:layout>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ED7D32"/>
          </a:solidFill>
          <a:ln w="19050">
            <a:solidFill>
              <a:schemeClr val="lt1"/>
            </a:solidFill>
          </a:ln>
          <a:effectLst/>
        </c:spPr>
        <c:dLbl>
          <c:idx val="0"/>
          <c:layout>
            <c:manualLayout>
              <c:x val="0.11388888888888889"/>
              <c:y val="-0.12962962962962971"/>
            </c:manualLayout>
          </c:layout>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2">
              <a:lumMod val="60000"/>
              <a:lumOff val="4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w="19050">
            <a:solidFill>
              <a:schemeClr val="lt1"/>
            </a:solidFill>
          </a:ln>
          <a:effectLst/>
        </c:spPr>
        <c:dLbl>
          <c:idx val="0"/>
          <c:layout>
            <c:manualLayout>
              <c:x val="-0.18909010520619335"/>
              <c:y val="0.10585568987446581"/>
            </c:manualLayout>
          </c:layout>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ED7D32"/>
          </a:solidFill>
          <a:ln w="19050">
            <a:solidFill>
              <a:schemeClr val="lt1"/>
            </a:solidFill>
          </a:ln>
          <a:effectLst/>
        </c:spPr>
        <c:dLbl>
          <c:idx val="0"/>
          <c:layout>
            <c:manualLayout>
              <c:x val="0.22090039819531879"/>
              <c:y val="-0.23087751839122064"/>
            </c:manualLayout>
          </c:layout>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24109799489676"/>
                  <c:h val="0.22812175618956027"/>
                </c:manualLayout>
              </c15:layout>
            </c:ext>
          </c:extLst>
        </c:dLbl>
      </c:pivotFmt>
    </c:pivotFmts>
    <c:plotArea>
      <c:layout>
        <c:manualLayout>
          <c:layoutTarget val="inner"/>
          <c:xMode val="edge"/>
          <c:yMode val="edge"/>
          <c:x val="0.20704035934886683"/>
          <c:y val="0.2081391634288583"/>
          <c:w val="0.51416234421717055"/>
          <c:h val="0.71557064732332321"/>
        </c:manualLayout>
      </c:layout>
      <c:pieChart>
        <c:varyColors val="1"/>
        <c:ser>
          <c:idx val="0"/>
          <c:order val="0"/>
          <c:tx>
            <c:strRef>
              <c:f>'Men vs  Women'!$B$3</c:f>
              <c:strCache>
                <c:ptCount val="1"/>
                <c:pt idx="0">
                  <c:v>Total</c:v>
                </c:pt>
              </c:strCache>
            </c:strRef>
          </c:tx>
          <c:spPr>
            <a:solidFill>
              <a:schemeClr val="tx2">
                <a:lumMod val="60000"/>
                <a:lumOff val="40000"/>
              </a:schemeClr>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ABC1-41DA-972B-AF0154DDF040}"/>
              </c:ext>
            </c:extLst>
          </c:dPt>
          <c:dPt>
            <c:idx val="1"/>
            <c:bubble3D val="0"/>
            <c:spPr>
              <a:solidFill>
                <a:srgbClr val="ED7D32"/>
              </a:solidFill>
              <a:ln w="19050">
                <a:solidFill>
                  <a:schemeClr val="lt1"/>
                </a:solidFill>
              </a:ln>
              <a:effectLst/>
            </c:spPr>
            <c:extLst>
              <c:ext xmlns:c16="http://schemas.microsoft.com/office/drawing/2014/chart" uri="{C3380CC4-5D6E-409C-BE32-E72D297353CC}">
                <c16:uniqueId val="{00000003-ABC1-41DA-972B-AF0154DDF040}"/>
              </c:ext>
            </c:extLst>
          </c:dPt>
          <c:dLbls>
            <c:dLbl>
              <c:idx val="0"/>
              <c:layout>
                <c:manualLayout>
                  <c:x val="-0.18909010520619335"/>
                  <c:y val="0.105855689874465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C1-41DA-972B-AF0154DDF040}"/>
                </c:ext>
              </c:extLst>
            </c:dLbl>
            <c:dLbl>
              <c:idx val="1"/>
              <c:layout>
                <c:manualLayout>
                  <c:x val="0.22090039819531879"/>
                  <c:y val="-0.2308775183912206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324109799489676"/>
                      <c:h val="0.22812175618956027"/>
                    </c:manualLayout>
                  </c15:layout>
                </c:ext>
                <c:ext xmlns:c16="http://schemas.microsoft.com/office/drawing/2014/chart" uri="{C3380CC4-5D6E-409C-BE32-E72D297353CC}">
                  <c16:uniqueId val="{00000003-ABC1-41DA-972B-AF0154DDF040}"/>
                </c:ext>
              </c:extLst>
            </c:dLbl>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906580.14000000013</c:v>
                </c:pt>
                <c:pt idx="1">
                  <c:v>1751724.0100000009</c:v>
                </c:pt>
              </c:numCache>
            </c:numRef>
          </c:val>
          <c:extLst>
            <c:ext xmlns:c16="http://schemas.microsoft.com/office/drawing/2014/chart" uri="{C3380CC4-5D6E-409C-BE32-E72D297353CC}">
              <c16:uniqueId val="{00000004-ABC1-41DA-972B-AF0154DDF04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2025.xlsx]order status!PivotTable2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c:rich>
      </c:tx>
      <c:layout>
        <c:manualLayout>
          <c:xMode val="edge"/>
          <c:yMode val="edge"/>
          <c:x val="0.2972861279855506"/>
          <c:y val="3.121266574533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ED7D32"/>
          </a:solidFill>
          <a:ln w="19050">
            <a:solidFill>
              <a:schemeClr val="lt1"/>
            </a:solidFill>
          </a:ln>
          <a:effectLst/>
        </c:spPr>
        <c:dLbl>
          <c:idx val="0"/>
          <c:layout>
            <c:manualLayout>
              <c:x val="0.17222222222222222"/>
              <c:y val="-0.10185185185185185"/>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92D050"/>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7030A0"/>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w="19050">
            <a:solidFill>
              <a:schemeClr val="lt1"/>
            </a:solidFill>
          </a:ln>
          <a:effectLst/>
        </c:spPr>
      </c:pivotFmt>
      <c:pivotFmt>
        <c:idx val="7"/>
        <c:spPr>
          <a:solidFill>
            <a:srgbClr val="ED7D32"/>
          </a:solidFill>
          <a:ln w="19050">
            <a:solidFill>
              <a:schemeClr val="lt1"/>
            </a:solidFill>
          </a:ln>
          <a:effectLst/>
        </c:spPr>
        <c:dLbl>
          <c:idx val="0"/>
          <c:layout>
            <c:manualLayout>
              <c:x val="0.17222222222222222"/>
              <c:y val="-0.10185185185185185"/>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92D050"/>
          </a:solidFill>
          <a:ln w="19050">
            <a:solidFill>
              <a:schemeClr val="lt1"/>
            </a:solidFill>
          </a:ln>
          <a:effectLst/>
        </c:spPr>
      </c:pivotFmt>
      <c:pivotFmt>
        <c:idx val="9"/>
        <c:spPr>
          <a:solidFill>
            <a:srgbClr val="7030A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70C0"/>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264317521235511"/>
                  <c:h val="0.15314669720066498"/>
                </c:manualLayout>
              </c15:layout>
            </c:ext>
          </c:extLst>
        </c:dLbl>
      </c:pivotFmt>
      <c:pivotFmt>
        <c:idx val="12"/>
        <c:spPr>
          <a:solidFill>
            <a:srgbClr val="ED7D32"/>
          </a:solidFill>
          <a:ln w="19050">
            <a:solidFill>
              <a:schemeClr val="lt1"/>
            </a:solidFill>
          </a:ln>
          <a:effectLst/>
        </c:spPr>
        <c:dLbl>
          <c:idx val="0"/>
          <c:layout>
            <c:manualLayout>
              <c:x val="0.21575798619429828"/>
              <c:y val="-0.10842294416800466"/>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92D050"/>
          </a:solidFill>
          <a:ln w="19050">
            <a:solidFill>
              <a:schemeClr val="lt1"/>
            </a:solidFill>
          </a:ln>
          <a:effectLst/>
        </c:spPr>
      </c:pivotFmt>
      <c:pivotFmt>
        <c:idx val="14"/>
        <c:spPr>
          <a:solidFill>
            <a:srgbClr val="7030A0"/>
          </a:solidFill>
          <a:ln w="19050">
            <a:solidFill>
              <a:schemeClr val="lt1"/>
            </a:solidFill>
          </a:ln>
          <a:effectLst/>
        </c:spPr>
      </c:pivotFmt>
    </c:pivotFmts>
    <c:plotArea>
      <c:layout>
        <c:manualLayout>
          <c:layoutTarget val="inner"/>
          <c:xMode val="edge"/>
          <c:yMode val="edge"/>
          <c:x val="0.21139245772289517"/>
          <c:y val="0.2042370513894976"/>
          <c:w val="0.45147857197334756"/>
          <c:h val="0.66754729263898183"/>
        </c:manualLayout>
      </c:layout>
      <c:pieChart>
        <c:varyColors val="1"/>
        <c:ser>
          <c:idx val="0"/>
          <c:order val="0"/>
          <c:tx>
            <c:strRef>
              <c:f>'order status'!$B$3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266C-4866-8673-3F2A92842809}"/>
              </c:ext>
            </c:extLst>
          </c:dPt>
          <c:dPt>
            <c:idx val="1"/>
            <c:bubble3D val="0"/>
            <c:spPr>
              <a:solidFill>
                <a:srgbClr val="ED7D32"/>
              </a:solidFill>
              <a:ln w="19050">
                <a:solidFill>
                  <a:schemeClr val="lt1"/>
                </a:solidFill>
              </a:ln>
              <a:effectLst/>
            </c:spPr>
            <c:extLst>
              <c:ext xmlns:c16="http://schemas.microsoft.com/office/drawing/2014/chart" uri="{C3380CC4-5D6E-409C-BE32-E72D297353CC}">
                <c16:uniqueId val="{00000003-266C-4866-8673-3F2A92842809}"/>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266C-4866-8673-3F2A92842809}"/>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266C-4866-8673-3F2A92842809}"/>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3264317521235511"/>
                      <c:h val="0.15314669720066498"/>
                    </c:manualLayout>
                  </c15:layout>
                </c:ext>
                <c:ext xmlns:c16="http://schemas.microsoft.com/office/drawing/2014/chart" uri="{C3380CC4-5D6E-409C-BE32-E72D297353CC}">
                  <c16:uniqueId val="{00000001-266C-4866-8673-3F2A92842809}"/>
                </c:ext>
              </c:extLst>
            </c:dLbl>
            <c:dLbl>
              <c:idx val="1"/>
              <c:layout>
                <c:manualLayout>
                  <c:x val="0.21575798619429828"/>
                  <c:y val="-0.1084229441680046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6C-4866-8673-3F2A92842809}"/>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Returned</c:v>
                </c:pt>
                <c:pt idx="3">
                  <c:v>Shipped</c:v>
                </c:pt>
              </c:strCache>
            </c:strRef>
          </c:cat>
          <c:val>
            <c:numRef>
              <c:f>'order status'!$B$4:$B$7</c:f>
              <c:numCache>
                <c:formatCode>General</c:formatCode>
                <c:ptCount val="4"/>
                <c:pt idx="0">
                  <c:v>98</c:v>
                </c:pt>
                <c:pt idx="1">
                  <c:v>686</c:v>
                </c:pt>
                <c:pt idx="2">
                  <c:v>108</c:v>
                </c:pt>
                <c:pt idx="3">
                  <c:v>108</c:v>
                </c:pt>
              </c:numCache>
            </c:numRef>
          </c:val>
          <c:extLst>
            <c:ext xmlns:c16="http://schemas.microsoft.com/office/drawing/2014/chart" uri="{C3380CC4-5D6E-409C-BE32-E72D297353CC}">
              <c16:uniqueId val="{00000008-266C-4866-8673-3F2A92842809}"/>
            </c:ext>
          </c:extLst>
        </c:ser>
        <c:dLbls>
          <c:showLegendKey val="0"/>
          <c:showVal val="0"/>
          <c:showCatName val="0"/>
          <c:showSerName val="0"/>
          <c:showPercent val="0"/>
          <c:showBubbleSize val="0"/>
          <c:showLeaderLines val="0"/>
        </c:dLbls>
        <c:firstSliceAng val="9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2025.xlsx]State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Sales'!$B$3</c:f>
              <c:strCache>
                <c:ptCount val="1"/>
                <c:pt idx="0">
                  <c:v>Total</c:v>
                </c:pt>
              </c:strCache>
            </c:strRef>
          </c:tx>
          <c:spPr>
            <a:solidFill>
              <a:srgbClr val="0070C0"/>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Sales'!$A$4:$A$8</c:f>
              <c:strCache>
                <c:ptCount val="5"/>
                <c:pt idx="0">
                  <c:v>Delhi</c:v>
                </c:pt>
                <c:pt idx="1">
                  <c:v>Rajasthan</c:v>
                </c:pt>
                <c:pt idx="2">
                  <c:v>Maharashtra</c:v>
                </c:pt>
                <c:pt idx="3">
                  <c:v>Uttar Pradesh</c:v>
                </c:pt>
                <c:pt idx="4">
                  <c:v>Karnataka</c:v>
                </c:pt>
              </c:strCache>
            </c:strRef>
          </c:cat>
          <c:val>
            <c:numRef>
              <c:f>'State Sales'!$B$4:$B$8</c:f>
              <c:numCache>
                <c:formatCode>General</c:formatCode>
                <c:ptCount val="5"/>
                <c:pt idx="0">
                  <c:v>652450.74000000034</c:v>
                </c:pt>
                <c:pt idx="1">
                  <c:v>595559.19999999984</c:v>
                </c:pt>
                <c:pt idx="2">
                  <c:v>515439.86999999994</c:v>
                </c:pt>
                <c:pt idx="3">
                  <c:v>461468.04999999981</c:v>
                </c:pt>
                <c:pt idx="4">
                  <c:v>433386.28999999986</c:v>
                </c:pt>
              </c:numCache>
            </c:numRef>
          </c:val>
          <c:extLst>
            <c:ext xmlns:c16="http://schemas.microsoft.com/office/drawing/2014/chart" uri="{C3380CC4-5D6E-409C-BE32-E72D297353CC}">
              <c16:uniqueId val="{00000000-43F4-4E03-AFCF-679AA0BEB3A5}"/>
            </c:ext>
          </c:extLst>
        </c:ser>
        <c:dLbls>
          <c:dLblPos val="outEnd"/>
          <c:showLegendKey val="0"/>
          <c:showVal val="1"/>
          <c:showCatName val="0"/>
          <c:showSerName val="0"/>
          <c:showPercent val="0"/>
          <c:showBubbleSize val="0"/>
        </c:dLbls>
        <c:gapWidth val="182"/>
        <c:axId val="170948224"/>
        <c:axId val="36330832"/>
      </c:barChart>
      <c:catAx>
        <c:axId val="1709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0832"/>
        <c:crosses val="autoZero"/>
        <c:auto val="1"/>
        <c:lblAlgn val="ctr"/>
        <c:lblOffset val="100"/>
        <c:noMultiLvlLbl val="0"/>
      </c:catAx>
      <c:valAx>
        <c:axId val="36330832"/>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2025.xlsx]Gender and Age!PivotTable1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s: Age vs Gender</a:t>
            </a:r>
          </a:p>
        </c:rich>
      </c:tx>
      <c:layout>
        <c:manualLayout>
          <c:xMode val="edge"/>
          <c:yMode val="edge"/>
          <c:x val="0.20379855643044617"/>
          <c:y val="3.2599837000814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D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2431482373511667"/>
          <c:w val="0.81880731518369665"/>
          <c:h val="0.63978689877235828"/>
        </c:manualLayout>
      </c:layout>
      <c:barChart>
        <c:barDir val="col"/>
        <c:grouping val="clustered"/>
        <c:varyColors val="0"/>
        <c:ser>
          <c:idx val="0"/>
          <c:order val="0"/>
          <c:tx>
            <c:strRef>
              <c:f>'Gender and Age'!$B$3:$B$4</c:f>
              <c:strCache>
                <c:ptCount val="1"/>
                <c:pt idx="0">
                  <c:v>Men</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and Age'!$A$5:$A$7</c:f>
              <c:strCache>
                <c:ptCount val="3"/>
                <c:pt idx="0">
                  <c:v>Adult</c:v>
                </c:pt>
                <c:pt idx="1">
                  <c:v>Senior</c:v>
                </c:pt>
                <c:pt idx="2">
                  <c:v>Teenager</c:v>
                </c:pt>
              </c:strCache>
            </c:strRef>
          </c:cat>
          <c:val>
            <c:numRef>
              <c:f>'Gender and Age'!$B$5:$B$7</c:f>
              <c:numCache>
                <c:formatCode>0.00%</c:formatCode>
                <c:ptCount val="3"/>
                <c:pt idx="0">
                  <c:v>0.16200000000000001</c:v>
                </c:pt>
                <c:pt idx="1">
                  <c:v>7.9000000000000001E-2</c:v>
                </c:pt>
                <c:pt idx="2">
                  <c:v>0.10100000000000001</c:v>
                </c:pt>
              </c:numCache>
            </c:numRef>
          </c:val>
          <c:extLst>
            <c:ext xmlns:c16="http://schemas.microsoft.com/office/drawing/2014/chart" uri="{C3380CC4-5D6E-409C-BE32-E72D297353CC}">
              <c16:uniqueId val="{00000000-6A34-4945-B5D2-937602A287A3}"/>
            </c:ext>
          </c:extLst>
        </c:ser>
        <c:ser>
          <c:idx val="1"/>
          <c:order val="1"/>
          <c:tx>
            <c:strRef>
              <c:f>'Gender and Age'!$C$3:$C$4</c:f>
              <c:strCache>
                <c:ptCount val="1"/>
                <c:pt idx="0">
                  <c:v>Women</c:v>
                </c:pt>
              </c:strCache>
            </c:strRef>
          </c:tx>
          <c:spPr>
            <a:solidFill>
              <a:srgbClr val="ED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and Age'!$A$5:$A$7</c:f>
              <c:strCache>
                <c:ptCount val="3"/>
                <c:pt idx="0">
                  <c:v>Adult</c:v>
                </c:pt>
                <c:pt idx="1">
                  <c:v>Senior</c:v>
                </c:pt>
                <c:pt idx="2">
                  <c:v>Teenager</c:v>
                </c:pt>
              </c:strCache>
            </c:strRef>
          </c:cat>
          <c:val>
            <c:numRef>
              <c:f>'Gender and Age'!$C$5:$C$7</c:f>
              <c:numCache>
                <c:formatCode>0.00%</c:formatCode>
                <c:ptCount val="3"/>
                <c:pt idx="0">
                  <c:v>0.27800000000000002</c:v>
                </c:pt>
                <c:pt idx="1">
                  <c:v>0.19700000000000001</c:v>
                </c:pt>
                <c:pt idx="2">
                  <c:v>0.183</c:v>
                </c:pt>
              </c:numCache>
            </c:numRef>
          </c:val>
          <c:extLst>
            <c:ext xmlns:c16="http://schemas.microsoft.com/office/drawing/2014/chart" uri="{C3380CC4-5D6E-409C-BE32-E72D297353CC}">
              <c16:uniqueId val="{00000001-6A34-4945-B5D2-937602A287A3}"/>
            </c:ext>
          </c:extLst>
        </c:ser>
        <c:dLbls>
          <c:dLblPos val="outEnd"/>
          <c:showLegendKey val="0"/>
          <c:showVal val="1"/>
          <c:showCatName val="0"/>
          <c:showSerName val="0"/>
          <c:showPercent val="0"/>
          <c:showBubbleSize val="0"/>
        </c:dLbls>
        <c:gapWidth val="219"/>
        <c:overlap val="-27"/>
        <c:axId val="1771168463"/>
        <c:axId val="1140713679"/>
      </c:barChart>
      <c:catAx>
        <c:axId val="177116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713679"/>
        <c:crosses val="autoZero"/>
        <c:auto val="1"/>
        <c:lblAlgn val="ctr"/>
        <c:lblOffset val="100"/>
        <c:noMultiLvlLbl val="0"/>
      </c:catAx>
      <c:valAx>
        <c:axId val="1140713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168463"/>
        <c:crosses val="autoZero"/>
        <c:crossBetween val="between"/>
      </c:valAx>
      <c:spPr>
        <a:noFill/>
        <a:ln>
          <a:noFill/>
        </a:ln>
        <a:effectLst/>
      </c:spPr>
    </c:plotArea>
    <c:legend>
      <c:legendPos val="r"/>
      <c:layout>
        <c:manualLayout>
          <c:xMode val="edge"/>
          <c:yMode val="edge"/>
          <c:x val="0.60850848992115003"/>
          <c:y val="4.0219631816486717E-2"/>
          <c:w val="0.30843503937007877"/>
          <c:h val="8.04818101893742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2025.xlsx]Channels!PivotTable2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Channels</a:t>
            </a:r>
            <a:endParaRPr lang="en-US"/>
          </a:p>
        </c:rich>
      </c:tx>
      <c:layout>
        <c:manualLayout>
          <c:xMode val="edge"/>
          <c:yMode val="edge"/>
          <c:x val="0.31943828529194385"/>
          <c:y val="2.7548209366391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w="19050">
            <a:solidFill>
              <a:schemeClr val="lt1"/>
            </a:solidFill>
          </a:ln>
          <a:effectLst/>
        </c:spPr>
        <c:dLbl>
          <c:idx val="0"/>
          <c:layout>
            <c:manualLayout>
              <c:x val="-1.4781966001478197E-2"/>
              <c:y val="1.377410468319555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65000"/>
            </a:schemeClr>
          </a:solidFill>
          <a:ln w="19050">
            <a:solidFill>
              <a:schemeClr val="lt1"/>
            </a:solidFill>
          </a:ln>
          <a:effectLst/>
        </c:spPr>
        <c:dLbl>
          <c:idx val="0"/>
          <c:layout>
            <c:manualLayout>
              <c:x val="1.8477457501847747E-2"/>
              <c:y val="-2.295684113865931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1.8477457501847747E-2"/>
              <c:y val="-4.591368227731863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ED7D32"/>
          </a:solidFill>
          <a:ln w="19050">
            <a:solidFill>
              <a:schemeClr val="lt1"/>
            </a:solidFill>
          </a:ln>
          <a:effectLst/>
        </c:spPr>
        <c:dLbl>
          <c:idx val="0"/>
          <c:layout>
            <c:manualLayout>
              <c:x val="1.4781966001478197E-2"/>
              <c:y val="-4.591368227731948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7030A0"/>
          </a:solidFill>
          <a:ln w="19050">
            <a:solidFill>
              <a:schemeClr val="lt1"/>
            </a:solidFill>
          </a:ln>
          <a:effectLst/>
        </c:spPr>
        <c:dLbl>
          <c:idx val="0"/>
          <c:layout>
            <c:manualLayout>
              <c:x val="1.4781966001478197E-2"/>
              <c:y val="2.75482093663911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B050"/>
          </a:solidFill>
          <a:ln w="19050">
            <a:solidFill>
              <a:schemeClr val="lt1"/>
            </a:solidFill>
          </a:ln>
          <a:effectLst/>
        </c:spPr>
        <c:dLbl>
          <c:idx val="0"/>
          <c:layout>
            <c:manualLayout>
              <c:x val="1.1086474501108648E-2"/>
              <c:y val="1.377410468319559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w="19050">
            <a:solidFill>
              <a:schemeClr val="lt1"/>
            </a:solidFill>
          </a:ln>
          <a:effectLst/>
        </c:spPr>
        <c:dLbl>
          <c:idx val="0"/>
          <c:layout>
            <c:manualLayout>
              <c:x val="-1.4781966001478197E-2"/>
              <c:y val="1.377410468319555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solidFill>
          <a:ln w="19050">
            <a:solidFill>
              <a:schemeClr val="lt1"/>
            </a:solidFill>
          </a:ln>
          <a:effectLst/>
        </c:spPr>
        <c:dLbl>
          <c:idx val="0"/>
          <c:layout>
            <c:manualLayout>
              <c:x val="-1.8477457501847747E-2"/>
              <c:y val="-4.591368227731863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1">
              <a:lumMod val="65000"/>
            </a:schemeClr>
          </a:solidFill>
          <a:ln w="19050">
            <a:solidFill>
              <a:schemeClr val="lt1"/>
            </a:solidFill>
          </a:ln>
          <a:effectLst/>
        </c:spPr>
        <c:dLbl>
          <c:idx val="0"/>
          <c:layout>
            <c:manualLayout>
              <c:x val="1.8477457501847747E-2"/>
              <c:y val="-2.295684113865931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ED7D32"/>
          </a:solidFill>
          <a:ln w="19050">
            <a:solidFill>
              <a:schemeClr val="lt1"/>
            </a:solidFill>
          </a:ln>
          <a:effectLst/>
        </c:spPr>
        <c:dLbl>
          <c:idx val="0"/>
          <c:layout>
            <c:manualLayout>
              <c:x val="1.4781966001478197E-2"/>
              <c:y val="-4.591368227731948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50"/>
          </a:solidFill>
          <a:ln w="19050">
            <a:solidFill>
              <a:schemeClr val="lt1"/>
            </a:solidFill>
          </a:ln>
          <a:effectLst/>
        </c:spPr>
        <c:dLbl>
          <c:idx val="0"/>
          <c:layout>
            <c:manualLayout>
              <c:x val="1.1086474501108648E-2"/>
              <c:y val="1.377410468319559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7030A0"/>
          </a:solidFill>
          <a:ln w="19050">
            <a:solidFill>
              <a:schemeClr val="lt1"/>
            </a:solidFill>
          </a:ln>
          <a:effectLst/>
        </c:spPr>
        <c:dLbl>
          <c:idx val="0"/>
          <c:layout>
            <c:manualLayout>
              <c:x val="1.4781966001478197E-2"/>
              <c:y val="2.75482093663911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70C0"/>
          </a:solidFill>
          <a:ln w="19050">
            <a:solidFill>
              <a:schemeClr val="lt1"/>
            </a:solidFill>
          </a:ln>
          <a:effectLst/>
        </c:spPr>
        <c:dLbl>
          <c:idx val="0"/>
          <c:layout>
            <c:manualLayout>
              <c:x val="-1.4781966001478197E-2"/>
              <c:y val="1.377410468319555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3"/>
          </a:solidFill>
          <a:ln w="19050">
            <a:solidFill>
              <a:schemeClr val="lt1"/>
            </a:solidFill>
          </a:ln>
          <a:effectLst/>
        </c:spPr>
        <c:dLbl>
          <c:idx val="0"/>
          <c:layout>
            <c:manualLayout>
              <c:x val="-1.8477457501847747E-2"/>
              <c:y val="-4.591368227731863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1">
              <a:lumMod val="65000"/>
            </a:schemeClr>
          </a:solidFill>
          <a:ln w="19050">
            <a:solidFill>
              <a:schemeClr val="lt1"/>
            </a:solidFill>
          </a:ln>
          <a:effectLst/>
        </c:spPr>
        <c:dLbl>
          <c:idx val="0"/>
          <c:layout>
            <c:manualLayout>
              <c:x val="1.8477457501847747E-2"/>
              <c:y val="-2.295684113865931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ED7D32"/>
          </a:solidFill>
          <a:ln w="19050">
            <a:solidFill>
              <a:schemeClr val="lt1"/>
            </a:solidFill>
          </a:ln>
          <a:effectLst/>
        </c:spPr>
        <c:dLbl>
          <c:idx val="0"/>
          <c:layout>
            <c:manualLayout>
              <c:x val="1.4781966001478197E-2"/>
              <c:y val="-4.591368227731948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0B050"/>
          </a:solidFill>
          <a:ln w="19050">
            <a:solidFill>
              <a:schemeClr val="lt1"/>
            </a:solidFill>
          </a:ln>
          <a:effectLst/>
        </c:spPr>
        <c:dLbl>
          <c:idx val="0"/>
          <c:layout>
            <c:manualLayout>
              <c:x val="1.1086474501108648E-2"/>
              <c:y val="1.377410468319559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7030A0"/>
          </a:solidFill>
          <a:ln w="19050">
            <a:solidFill>
              <a:schemeClr val="lt1"/>
            </a:solidFill>
          </a:ln>
          <a:effectLst/>
        </c:spPr>
        <c:dLbl>
          <c:idx val="0"/>
          <c:layout>
            <c:manualLayout>
              <c:x val="1.4781966001478197E-2"/>
              <c:y val="2.75482093663911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Channels!$B$3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F389-44A4-84D9-96136EA5397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389-44A4-84D9-96136EA5397E}"/>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F389-44A4-84D9-96136EA5397E}"/>
              </c:ext>
            </c:extLst>
          </c:dPt>
          <c:dPt>
            <c:idx val="3"/>
            <c:bubble3D val="0"/>
            <c:spPr>
              <a:solidFill>
                <a:srgbClr val="ED7D32"/>
              </a:solidFill>
              <a:ln w="19050">
                <a:solidFill>
                  <a:schemeClr val="lt1"/>
                </a:solidFill>
              </a:ln>
              <a:effectLst/>
            </c:spPr>
            <c:extLst>
              <c:ext xmlns:c16="http://schemas.microsoft.com/office/drawing/2014/chart" uri="{C3380CC4-5D6E-409C-BE32-E72D297353CC}">
                <c16:uniqueId val="{00000007-F389-44A4-84D9-96136EA5397E}"/>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F389-44A4-84D9-96136EA5397E}"/>
              </c:ext>
            </c:extLst>
          </c:dPt>
          <c:dPt>
            <c:idx val="5"/>
            <c:bubble3D val="0"/>
            <c:spPr>
              <a:solidFill>
                <a:srgbClr val="7030A0"/>
              </a:solidFill>
              <a:ln w="19050">
                <a:solidFill>
                  <a:schemeClr val="lt1"/>
                </a:solidFill>
              </a:ln>
              <a:effectLst/>
            </c:spPr>
            <c:extLst>
              <c:ext xmlns:c16="http://schemas.microsoft.com/office/drawing/2014/chart" uri="{C3380CC4-5D6E-409C-BE32-E72D297353CC}">
                <c16:uniqueId val="{0000000B-F389-44A4-84D9-96136EA5397E}"/>
              </c:ext>
            </c:extLst>
          </c:dPt>
          <c:dLbls>
            <c:dLbl>
              <c:idx val="0"/>
              <c:layout>
                <c:manualLayout>
                  <c:x val="-1.4781966001478197E-2"/>
                  <c:y val="1.37741046831955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89-44A4-84D9-96136EA5397E}"/>
                </c:ext>
              </c:extLst>
            </c:dLbl>
            <c:dLbl>
              <c:idx val="1"/>
              <c:layout>
                <c:manualLayout>
                  <c:x val="-1.8477457501847747E-2"/>
                  <c:y val="-4.591368227731863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89-44A4-84D9-96136EA5397E}"/>
                </c:ext>
              </c:extLst>
            </c:dLbl>
            <c:dLbl>
              <c:idx val="2"/>
              <c:layout>
                <c:manualLayout>
                  <c:x val="1.8477457501847747E-2"/>
                  <c:y val="-2.29568411386593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89-44A4-84D9-96136EA5397E}"/>
                </c:ext>
              </c:extLst>
            </c:dLbl>
            <c:dLbl>
              <c:idx val="3"/>
              <c:layout>
                <c:manualLayout>
                  <c:x val="1.4781966001478197E-2"/>
                  <c:y val="-4.591368227731948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389-44A4-84D9-96136EA5397E}"/>
                </c:ext>
              </c:extLst>
            </c:dLbl>
            <c:dLbl>
              <c:idx val="4"/>
              <c:layout>
                <c:manualLayout>
                  <c:x val="1.1086474501108648E-2"/>
                  <c:y val="1.37741046831955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389-44A4-84D9-96136EA5397E}"/>
                </c:ext>
              </c:extLst>
            </c:dLbl>
            <c:dLbl>
              <c:idx val="5"/>
              <c:layout>
                <c:manualLayout>
                  <c:x val="1.4781966001478197E-2"/>
                  <c:y val="2.75482093663911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389-44A4-84D9-96136EA5397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Channels!$A$4:$A$9</c:f>
              <c:strCache>
                <c:ptCount val="6"/>
                <c:pt idx="0">
                  <c:v>Ajio</c:v>
                </c:pt>
                <c:pt idx="1">
                  <c:v>Amazon</c:v>
                </c:pt>
                <c:pt idx="2">
                  <c:v>Flipkart</c:v>
                </c:pt>
                <c:pt idx="3">
                  <c:v>Meesho</c:v>
                </c:pt>
                <c:pt idx="4">
                  <c:v>Myntra</c:v>
                </c:pt>
                <c:pt idx="5">
                  <c:v>Website</c:v>
                </c:pt>
              </c:strCache>
            </c:strRef>
          </c:cat>
          <c:val>
            <c:numRef>
              <c:f>Channels!$B$4:$B$9</c:f>
              <c:numCache>
                <c:formatCode>0.0%</c:formatCode>
                <c:ptCount val="6"/>
                <c:pt idx="0">
                  <c:v>0.28599999999999998</c:v>
                </c:pt>
                <c:pt idx="1">
                  <c:v>5.7000000000000002E-2</c:v>
                </c:pt>
                <c:pt idx="2">
                  <c:v>0.23</c:v>
                </c:pt>
                <c:pt idx="3">
                  <c:v>0.255</c:v>
                </c:pt>
                <c:pt idx="4">
                  <c:v>7.8E-2</c:v>
                </c:pt>
                <c:pt idx="5">
                  <c:v>9.4E-2</c:v>
                </c:pt>
              </c:numCache>
            </c:numRef>
          </c:val>
          <c:extLst>
            <c:ext xmlns:c16="http://schemas.microsoft.com/office/drawing/2014/chart" uri="{C3380CC4-5D6E-409C-BE32-E72D297353CC}">
              <c16:uniqueId val="{0000000C-F389-44A4-84D9-96136EA5397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2025.xlsx]Channels!PivotTable2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Channels</a:t>
            </a:r>
            <a:endParaRPr lang="en-US"/>
          </a:p>
        </c:rich>
      </c:tx>
      <c:layout>
        <c:manualLayout>
          <c:xMode val="edge"/>
          <c:yMode val="edge"/>
          <c:x val="0.31943828529194385"/>
          <c:y val="2.7548209366391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w="19050">
            <a:solidFill>
              <a:schemeClr val="lt1"/>
            </a:solidFill>
          </a:ln>
          <a:effectLst/>
        </c:spPr>
        <c:dLbl>
          <c:idx val="0"/>
          <c:layout>
            <c:manualLayout>
              <c:x val="-1.4781966001478197E-2"/>
              <c:y val="1.377410468319555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65000"/>
            </a:schemeClr>
          </a:solidFill>
          <a:ln w="19050">
            <a:solidFill>
              <a:schemeClr val="lt1"/>
            </a:solidFill>
          </a:ln>
          <a:effectLst/>
        </c:spPr>
        <c:dLbl>
          <c:idx val="0"/>
          <c:layout>
            <c:manualLayout>
              <c:x val="1.8477457501847747E-2"/>
              <c:y val="-2.295684113865931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1.8477457501847747E-2"/>
              <c:y val="-4.5913682277318639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ED7D32"/>
          </a:solidFill>
          <a:ln w="19050">
            <a:solidFill>
              <a:schemeClr val="lt1"/>
            </a:solidFill>
          </a:ln>
          <a:effectLst/>
        </c:spPr>
        <c:dLbl>
          <c:idx val="0"/>
          <c:layout>
            <c:manualLayout>
              <c:x val="1.4781966001478197E-2"/>
              <c:y val="-4.591368227731948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7030A0"/>
          </a:solidFill>
          <a:ln w="19050">
            <a:solidFill>
              <a:schemeClr val="lt1"/>
            </a:solidFill>
          </a:ln>
          <a:effectLst/>
        </c:spPr>
        <c:dLbl>
          <c:idx val="0"/>
          <c:layout>
            <c:manualLayout>
              <c:x val="1.4781966001478197E-2"/>
              <c:y val="2.75482093663911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B050"/>
          </a:solidFill>
          <a:ln w="19050">
            <a:solidFill>
              <a:schemeClr val="lt1"/>
            </a:solidFill>
          </a:ln>
          <a:effectLst/>
        </c:spPr>
        <c:dLbl>
          <c:idx val="0"/>
          <c:layout>
            <c:manualLayout>
              <c:x val="1.1086474501108648E-2"/>
              <c:y val="1.377410468319559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Channels!$B$3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2-5D2F-4FDF-9271-1650DE19100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5-5D2F-4FDF-9271-1650DE191005}"/>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4-5D2F-4FDF-9271-1650DE191005}"/>
              </c:ext>
            </c:extLst>
          </c:dPt>
          <c:dPt>
            <c:idx val="3"/>
            <c:bubble3D val="0"/>
            <c:spPr>
              <a:solidFill>
                <a:srgbClr val="ED7D32"/>
              </a:solidFill>
              <a:ln w="19050">
                <a:solidFill>
                  <a:schemeClr val="lt1"/>
                </a:solidFill>
              </a:ln>
              <a:effectLst/>
            </c:spPr>
            <c:extLst>
              <c:ext xmlns:c16="http://schemas.microsoft.com/office/drawing/2014/chart" uri="{C3380CC4-5D6E-409C-BE32-E72D297353CC}">
                <c16:uniqueId val="{00000006-5D2F-4FDF-9271-1650DE191005}"/>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8-5D2F-4FDF-9271-1650DE191005}"/>
              </c:ext>
            </c:extLst>
          </c:dPt>
          <c:dPt>
            <c:idx val="5"/>
            <c:bubble3D val="0"/>
            <c:spPr>
              <a:solidFill>
                <a:srgbClr val="7030A0"/>
              </a:solidFill>
              <a:ln w="19050">
                <a:solidFill>
                  <a:schemeClr val="lt1"/>
                </a:solidFill>
              </a:ln>
              <a:effectLst/>
            </c:spPr>
            <c:extLst>
              <c:ext xmlns:c16="http://schemas.microsoft.com/office/drawing/2014/chart" uri="{C3380CC4-5D6E-409C-BE32-E72D297353CC}">
                <c16:uniqueId val="{00000007-5D2F-4FDF-9271-1650DE191005}"/>
              </c:ext>
            </c:extLst>
          </c:dPt>
          <c:dLbls>
            <c:dLbl>
              <c:idx val="0"/>
              <c:layout>
                <c:manualLayout>
                  <c:x val="-1.4781966001478197E-2"/>
                  <c:y val="1.37741046831955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2F-4FDF-9271-1650DE191005}"/>
                </c:ext>
              </c:extLst>
            </c:dLbl>
            <c:dLbl>
              <c:idx val="1"/>
              <c:layout>
                <c:manualLayout>
                  <c:x val="-1.8477457501847747E-2"/>
                  <c:y val="-4.591368227731863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D2F-4FDF-9271-1650DE191005}"/>
                </c:ext>
              </c:extLst>
            </c:dLbl>
            <c:dLbl>
              <c:idx val="2"/>
              <c:layout>
                <c:manualLayout>
                  <c:x val="1.8477457501847747E-2"/>
                  <c:y val="-2.29568411386593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2F-4FDF-9271-1650DE191005}"/>
                </c:ext>
              </c:extLst>
            </c:dLbl>
            <c:dLbl>
              <c:idx val="3"/>
              <c:layout>
                <c:manualLayout>
                  <c:x val="1.4781966001478197E-2"/>
                  <c:y val="-4.591368227731948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D2F-4FDF-9271-1650DE191005}"/>
                </c:ext>
              </c:extLst>
            </c:dLbl>
            <c:dLbl>
              <c:idx val="4"/>
              <c:layout>
                <c:manualLayout>
                  <c:x val="1.1086474501108648E-2"/>
                  <c:y val="1.37741046831955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5D2F-4FDF-9271-1650DE191005}"/>
                </c:ext>
              </c:extLst>
            </c:dLbl>
            <c:dLbl>
              <c:idx val="5"/>
              <c:layout>
                <c:manualLayout>
                  <c:x val="1.4781966001478197E-2"/>
                  <c:y val="2.75482093663911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D2F-4FDF-9271-1650DE19100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Channels!$A$4:$A$9</c:f>
              <c:strCache>
                <c:ptCount val="6"/>
                <c:pt idx="0">
                  <c:v>Ajio</c:v>
                </c:pt>
                <c:pt idx="1">
                  <c:v>Amazon</c:v>
                </c:pt>
                <c:pt idx="2">
                  <c:v>Flipkart</c:v>
                </c:pt>
                <c:pt idx="3">
                  <c:v>Meesho</c:v>
                </c:pt>
                <c:pt idx="4">
                  <c:v>Myntra</c:v>
                </c:pt>
                <c:pt idx="5">
                  <c:v>Website</c:v>
                </c:pt>
              </c:strCache>
            </c:strRef>
          </c:cat>
          <c:val>
            <c:numRef>
              <c:f>Channels!$B$4:$B$9</c:f>
              <c:numCache>
                <c:formatCode>0.0%</c:formatCode>
                <c:ptCount val="6"/>
                <c:pt idx="0">
                  <c:v>0.28599999999999998</c:v>
                </c:pt>
                <c:pt idx="1">
                  <c:v>5.7000000000000002E-2</c:v>
                </c:pt>
                <c:pt idx="2">
                  <c:v>0.23</c:v>
                </c:pt>
                <c:pt idx="3">
                  <c:v>0.255</c:v>
                </c:pt>
                <c:pt idx="4">
                  <c:v>7.8E-2</c:v>
                </c:pt>
                <c:pt idx="5">
                  <c:v>9.4E-2</c:v>
                </c:pt>
              </c:numCache>
            </c:numRef>
          </c:val>
          <c:extLst>
            <c:ext xmlns:c16="http://schemas.microsoft.com/office/drawing/2014/chart" uri="{C3380CC4-5D6E-409C-BE32-E72D297353CC}">
              <c16:uniqueId val="{00000000-5D2F-4FDF-9271-1650DE19100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2025.xlsx]Gender and Age!PivotTable1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s: Age vs Gender</a:t>
            </a:r>
          </a:p>
        </c:rich>
      </c:tx>
      <c:layout>
        <c:manualLayout>
          <c:xMode val="edge"/>
          <c:yMode val="edge"/>
          <c:x val="0.20379855643044617"/>
          <c:y val="3.2599837000814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D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2367155664221679"/>
          <c:w val="0.73935892388451441"/>
          <c:h val="0.66875196529529157"/>
        </c:manualLayout>
      </c:layout>
      <c:barChart>
        <c:barDir val="col"/>
        <c:grouping val="clustered"/>
        <c:varyColors val="0"/>
        <c:ser>
          <c:idx val="0"/>
          <c:order val="0"/>
          <c:tx>
            <c:strRef>
              <c:f>'Gender and Age'!$B$3:$B$4</c:f>
              <c:strCache>
                <c:ptCount val="1"/>
                <c:pt idx="0">
                  <c:v>Men</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and Age'!$A$5:$A$7</c:f>
              <c:strCache>
                <c:ptCount val="3"/>
                <c:pt idx="0">
                  <c:v>Adult</c:v>
                </c:pt>
                <c:pt idx="1">
                  <c:v>Senior</c:v>
                </c:pt>
                <c:pt idx="2">
                  <c:v>Teenager</c:v>
                </c:pt>
              </c:strCache>
            </c:strRef>
          </c:cat>
          <c:val>
            <c:numRef>
              <c:f>'Gender and Age'!$B$5:$B$7</c:f>
              <c:numCache>
                <c:formatCode>0.00%</c:formatCode>
                <c:ptCount val="3"/>
                <c:pt idx="0">
                  <c:v>0.16200000000000001</c:v>
                </c:pt>
                <c:pt idx="1">
                  <c:v>7.9000000000000001E-2</c:v>
                </c:pt>
                <c:pt idx="2">
                  <c:v>0.10100000000000001</c:v>
                </c:pt>
              </c:numCache>
            </c:numRef>
          </c:val>
          <c:extLst>
            <c:ext xmlns:c16="http://schemas.microsoft.com/office/drawing/2014/chart" uri="{C3380CC4-5D6E-409C-BE32-E72D297353CC}">
              <c16:uniqueId val="{00000000-4AC3-4167-B7D9-D0EB30BE4DA5}"/>
            </c:ext>
          </c:extLst>
        </c:ser>
        <c:ser>
          <c:idx val="1"/>
          <c:order val="1"/>
          <c:tx>
            <c:strRef>
              <c:f>'Gender and Age'!$C$3:$C$4</c:f>
              <c:strCache>
                <c:ptCount val="1"/>
                <c:pt idx="0">
                  <c:v>Women</c:v>
                </c:pt>
              </c:strCache>
            </c:strRef>
          </c:tx>
          <c:spPr>
            <a:solidFill>
              <a:srgbClr val="ED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and Age'!$A$5:$A$7</c:f>
              <c:strCache>
                <c:ptCount val="3"/>
                <c:pt idx="0">
                  <c:v>Adult</c:v>
                </c:pt>
                <c:pt idx="1">
                  <c:v>Senior</c:v>
                </c:pt>
                <c:pt idx="2">
                  <c:v>Teenager</c:v>
                </c:pt>
              </c:strCache>
            </c:strRef>
          </c:cat>
          <c:val>
            <c:numRef>
              <c:f>'Gender and Age'!$C$5:$C$7</c:f>
              <c:numCache>
                <c:formatCode>0.00%</c:formatCode>
                <c:ptCount val="3"/>
                <c:pt idx="0">
                  <c:v>0.27800000000000002</c:v>
                </c:pt>
                <c:pt idx="1">
                  <c:v>0.19700000000000001</c:v>
                </c:pt>
                <c:pt idx="2">
                  <c:v>0.183</c:v>
                </c:pt>
              </c:numCache>
            </c:numRef>
          </c:val>
          <c:extLst>
            <c:ext xmlns:c16="http://schemas.microsoft.com/office/drawing/2014/chart" uri="{C3380CC4-5D6E-409C-BE32-E72D297353CC}">
              <c16:uniqueId val="{00000001-4AC3-4167-B7D9-D0EB30BE4DA5}"/>
            </c:ext>
          </c:extLst>
        </c:ser>
        <c:dLbls>
          <c:dLblPos val="outEnd"/>
          <c:showLegendKey val="0"/>
          <c:showVal val="1"/>
          <c:showCatName val="0"/>
          <c:showSerName val="0"/>
          <c:showPercent val="0"/>
          <c:showBubbleSize val="0"/>
        </c:dLbls>
        <c:gapWidth val="219"/>
        <c:overlap val="-27"/>
        <c:axId val="1771168463"/>
        <c:axId val="1140713679"/>
      </c:barChart>
      <c:catAx>
        <c:axId val="177116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713679"/>
        <c:crosses val="autoZero"/>
        <c:auto val="1"/>
        <c:lblAlgn val="ctr"/>
        <c:lblOffset val="100"/>
        <c:noMultiLvlLbl val="0"/>
      </c:catAx>
      <c:valAx>
        <c:axId val="1140713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168463"/>
        <c:crosses val="autoZero"/>
        <c:crossBetween val="between"/>
      </c:valAx>
      <c:spPr>
        <a:noFill/>
        <a:ln>
          <a:noFill/>
        </a:ln>
        <a:effectLst/>
      </c:spPr>
    </c:plotArea>
    <c:legend>
      <c:legendPos val="r"/>
      <c:layout>
        <c:manualLayout>
          <c:xMode val="edge"/>
          <c:yMode val="edge"/>
          <c:x val="0.60545384951881009"/>
          <c:y val="4.0219407170680684E-2"/>
          <c:w val="0.30843503937007877"/>
          <c:h val="8.04818101893742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2025.xlsx]State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Sales'!$B$3</c:f>
              <c:strCache>
                <c:ptCount val="1"/>
                <c:pt idx="0">
                  <c:v>Total</c:v>
                </c:pt>
              </c:strCache>
            </c:strRef>
          </c:tx>
          <c:spPr>
            <a:solidFill>
              <a:srgbClr val="0070C0"/>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Sales'!$A$4:$A$8</c:f>
              <c:strCache>
                <c:ptCount val="5"/>
                <c:pt idx="0">
                  <c:v>Delhi</c:v>
                </c:pt>
                <c:pt idx="1">
                  <c:v>Rajasthan</c:v>
                </c:pt>
                <c:pt idx="2">
                  <c:v>Maharashtra</c:v>
                </c:pt>
                <c:pt idx="3">
                  <c:v>Uttar Pradesh</c:v>
                </c:pt>
                <c:pt idx="4">
                  <c:v>Karnataka</c:v>
                </c:pt>
              </c:strCache>
            </c:strRef>
          </c:cat>
          <c:val>
            <c:numRef>
              <c:f>'State Sales'!$B$4:$B$8</c:f>
              <c:numCache>
                <c:formatCode>General</c:formatCode>
                <c:ptCount val="5"/>
                <c:pt idx="0">
                  <c:v>652450.74000000034</c:v>
                </c:pt>
                <c:pt idx="1">
                  <c:v>595559.19999999984</c:v>
                </c:pt>
                <c:pt idx="2">
                  <c:v>515439.86999999994</c:v>
                </c:pt>
                <c:pt idx="3">
                  <c:v>461468.04999999981</c:v>
                </c:pt>
                <c:pt idx="4">
                  <c:v>433386.28999999986</c:v>
                </c:pt>
              </c:numCache>
            </c:numRef>
          </c:val>
          <c:extLst>
            <c:ext xmlns:c16="http://schemas.microsoft.com/office/drawing/2014/chart" uri="{C3380CC4-5D6E-409C-BE32-E72D297353CC}">
              <c16:uniqueId val="{00000000-75F2-4220-A9F3-72A9FA6EE9A0}"/>
            </c:ext>
          </c:extLst>
        </c:ser>
        <c:dLbls>
          <c:dLblPos val="outEnd"/>
          <c:showLegendKey val="0"/>
          <c:showVal val="1"/>
          <c:showCatName val="0"/>
          <c:showSerName val="0"/>
          <c:showPercent val="0"/>
          <c:showBubbleSize val="0"/>
        </c:dLbls>
        <c:gapWidth val="182"/>
        <c:axId val="170948224"/>
        <c:axId val="36330832"/>
      </c:barChart>
      <c:catAx>
        <c:axId val="1709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0832"/>
        <c:crosses val="autoZero"/>
        <c:auto val="1"/>
        <c:lblAlgn val="ctr"/>
        <c:lblOffset val="100"/>
        <c:noMultiLvlLbl val="0"/>
      </c:catAx>
      <c:valAx>
        <c:axId val="36330832"/>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2025.xlsx]Sales vs Order!PivotTable1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2280268099063554"/>
          <c:y val="1.6228072136975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8388025331031"/>
          <c:y val="0.17647995841612382"/>
          <c:w val="0.77432798297180105"/>
          <c:h val="0.69446533294062252"/>
        </c:manualLayout>
      </c:layout>
      <c:barChart>
        <c:barDir val="col"/>
        <c:grouping val="clustered"/>
        <c:varyColors val="0"/>
        <c:ser>
          <c:idx val="0"/>
          <c:order val="0"/>
          <c:tx>
            <c:strRef>
              <c:f>'Sales vs Order'!$B$3</c:f>
              <c:strCache>
                <c:ptCount val="1"/>
                <c:pt idx="0">
                  <c:v>Sum of Amount</c:v>
                </c:pt>
              </c:strCache>
            </c:strRef>
          </c:tx>
          <c:spPr>
            <a:solidFill>
              <a:schemeClr val="accent1"/>
            </a:solidFill>
            <a:ln>
              <a:noFill/>
            </a:ln>
            <a:effectLst/>
          </c:spPr>
          <c:invertIfNegative val="0"/>
          <c:cat>
            <c:strRef>
              <c:f>'Sales vs Order'!$A$4:$A$15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Order'!$B$4:$B$15</c:f>
              <c:numCache>
                <c:formatCode>General</c:formatCode>
                <c:ptCount val="12"/>
                <c:pt idx="0">
                  <c:v>240133.74999999994</c:v>
                </c:pt>
                <c:pt idx="1">
                  <c:v>218328.63999999996</c:v>
                </c:pt>
                <c:pt idx="2">
                  <c:v>230778.83000000007</c:v>
                </c:pt>
                <c:pt idx="3">
                  <c:v>195355.71999999994</c:v>
                </c:pt>
                <c:pt idx="4">
                  <c:v>203016.02999999997</c:v>
                </c:pt>
                <c:pt idx="5">
                  <c:v>202792.4500000001</c:v>
                </c:pt>
                <c:pt idx="6">
                  <c:v>180952.22</c:v>
                </c:pt>
                <c:pt idx="7">
                  <c:v>270543.21999999997</c:v>
                </c:pt>
                <c:pt idx="8">
                  <c:v>242614.75000000006</c:v>
                </c:pt>
                <c:pt idx="9">
                  <c:v>204858.7</c:v>
                </c:pt>
                <c:pt idx="10">
                  <c:v>243064.5499999999</c:v>
                </c:pt>
                <c:pt idx="11">
                  <c:v>225865.2900000001</c:v>
                </c:pt>
              </c:numCache>
            </c:numRef>
          </c:val>
          <c:extLst>
            <c:ext xmlns:c16="http://schemas.microsoft.com/office/drawing/2014/chart" uri="{C3380CC4-5D6E-409C-BE32-E72D297353CC}">
              <c16:uniqueId val="{00000000-47D8-42C0-B735-E374319012FB}"/>
            </c:ext>
          </c:extLst>
        </c:ser>
        <c:dLbls>
          <c:showLegendKey val="0"/>
          <c:showVal val="0"/>
          <c:showCatName val="0"/>
          <c:showSerName val="0"/>
          <c:showPercent val="0"/>
          <c:showBubbleSize val="0"/>
        </c:dLbls>
        <c:gapWidth val="219"/>
        <c:overlap val="-27"/>
        <c:axId val="993481807"/>
        <c:axId val="855011727"/>
      </c:barChart>
      <c:lineChart>
        <c:grouping val="standard"/>
        <c:varyColors val="0"/>
        <c:ser>
          <c:idx val="1"/>
          <c:order val="1"/>
          <c:tx>
            <c:strRef>
              <c:f>'Sales vs Order'!$C$3</c:f>
              <c:strCache>
                <c:ptCount val="1"/>
                <c:pt idx="0">
                  <c:v>Count of Order ID</c:v>
                </c:pt>
              </c:strCache>
            </c:strRef>
          </c:tx>
          <c:spPr>
            <a:ln w="28575" cap="rnd">
              <a:solidFill>
                <a:schemeClr val="accent2"/>
              </a:solidFill>
              <a:round/>
            </a:ln>
            <a:effectLst/>
          </c:spPr>
          <c:marker>
            <c:symbol val="none"/>
          </c:marker>
          <c:cat>
            <c:strRef>
              <c:f>'Sales vs Order'!$A$4:$A$15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Order'!$C$4:$C$15</c:f>
              <c:numCache>
                <c:formatCode>General</c:formatCode>
                <c:ptCount val="12"/>
                <c:pt idx="0">
                  <c:v>87</c:v>
                </c:pt>
                <c:pt idx="1">
                  <c:v>79</c:v>
                </c:pt>
                <c:pt idx="2">
                  <c:v>95</c:v>
                </c:pt>
                <c:pt idx="3">
                  <c:v>75</c:v>
                </c:pt>
                <c:pt idx="4">
                  <c:v>75</c:v>
                </c:pt>
                <c:pt idx="5">
                  <c:v>75</c:v>
                </c:pt>
                <c:pt idx="6">
                  <c:v>76</c:v>
                </c:pt>
                <c:pt idx="7">
                  <c:v>98</c:v>
                </c:pt>
                <c:pt idx="8">
                  <c:v>79</c:v>
                </c:pt>
                <c:pt idx="9">
                  <c:v>83</c:v>
                </c:pt>
                <c:pt idx="10">
                  <c:v>89</c:v>
                </c:pt>
                <c:pt idx="11">
                  <c:v>89</c:v>
                </c:pt>
              </c:numCache>
            </c:numRef>
          </c:val>
          <c:smooth val="0"/>
          <c:extLst>
            <c:ext xmlns:c16="http://schemas.microsoft.com/office/drawing/2014/chart" uri="{C3380CC4-5D6E-409C-BE32-E72D297353CC}">
              <c16:uniqueId val="{00000001-47D8-42C0-B735-E374319012FB}"/>
            </c:ext>
          </c:extLst>
        </c:ser>
        <c:dLbls>
          <c:showLegendKey val="0"/>
          <c:showVal val="0"/>
          <c:showCatName val="0"/>
          <c:showSerName val="0"/>
          <c:showPercent val="0"/>
          <c:showBubbleSize val="0"/>
        </c:dLbls>
        <c:marker val="1"/>
        <c:smooth val="0"/>
        <c:axId val="1017690511"/>
        <c:axId val="855037167"/>
      </c:lineChart>
      <c:catAx>
        <c:axId val="99348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11727"/>
        <c:crosses val="autoZero"/>
        <c:auto val="1"/>
        <c:lblAlgn val="ctr"/>
        <c:lblOffset val="100"/>
        <c:noMultiLvlLbl val="0"/>
      </c:catAx>
      <c:valAx>
        <c:axId val="855011727"/>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81807"/>
        <c:crosses val="autoZero"/>
        <c:crossBetween val="between"/>
      </c:valAx>
      <c:valAx>
        <c:axId val="8550371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690511"/>
        <c:crosses val="max"/>
        <c:crossBetween val="between"/>
      </c:valAx>
      <c:catAx>
        <c:axId val="1017690511"/>
        <c:scaling>
          <c:orientation val="minMax"/>
        </c:scaling>
        <c:delete val="1"/>
        <c:axPos val="b"/>
        <c:numFmt formatCode="General" sourceLinked="1"/>
        <c:majorTickMark val="out"/>
        <c:minorTickMark val="none"/>
        <c:tickLblPos val="nextTo"/>
        <c:crossAx val="855037167"/>
        <c:crosses val="autoZero"/>
        <c:auto val="1"/>
        <c:lblAlgn val="ctr"/>
        <c:lblOffset val="100"/>
        <c:noMultiLvlLbl val="0"/>
      </c:catAx>
      <c:spPr>
        <a:noFill/>
        <a:ln>
          <a:noFill/>
        </a:ln>
        <a:effectLst/>
      </c:spPr>
    </c:plotArea>
    <c:legend>
      <c:legendPos val="r"/>
      <c:layout>
        <c:manualLayout>
          <c:xMode val="edge"/>
          <c:yMode val="edge"/>
          <c:x val="0.48653367347477722"/>
          <c:y val="1.9483589521776604E-2"/>
          <c:w val="0.50139236160627043"/>
          <c:h val="0.13692531700644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2025.xlsx]order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c:rich>
      </c:tx>
      <c:layout>
        <c:manualLayout>
          <c:xMode val="edge"/>
          <c:yMode val="edge"/>
          <c:x val="0.42305555555555563"/>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w="19050">
            <a:solidFill>
              <a:schemeClr val="lt1"/>
            </a:solidFill>
          </a:ln>
          <a:effectLst/>
        </c:spPr>
      </c:pivotFmt>
      <c:pivotFmt>
        <c:idx val="2"/>
        <c:spPr>
          <a:solidFill>
            <a:srgbClr val="ED7D32"/>
          </a:solidFill>
          <a:ln w="19050">
            <a:solidFill>
              <a:schemeClr val="lt1"/>
            </a:solidFill>
          </a:ln>
          <a:effectLst/>
        </c:spPr>
        <c:dLbl>
          <c:idx val="0"/>
          <c:layout>
            <c:manualLayout>
              <c:x val="0.17222222222222222"/>
              <c:y val="-0.10185185185185185"/>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92D050"/>
          </a:solidFill>
          <a:ln w="19050">
            <a:solidFill>
              <a:schemeClr val="lt1"/>
            </a:solidFill>
          </a:ln>
          <a:effectLst/>
        </c:spPr>
      </c:pivotFmt>
      <c:pivotFmt>
        <c:idx val="4"/>
        <c:spPr>
          <a:solidFill>
            <a:srgbClr val="7030A0"/>
          </a:solidFill>
          <a:ln w="19050">
            <a:solidFill>
              <a:schemeClr val="lt1"/>
            </a:solidFill>
          </a:ln>
          <a:effectLst/>
        </c:spPr>
      </c:pivotFmt>
    </c:pivotFmts>
    <c:plotArea>
      <c:layout>
        <c:manualLayout>
          <c:layoutTarget val="inner"/>
          <c:xMode val="edge"/>
          <c:yMode val="edge"/>
          <c:x val="0.21365104361954754"/>
          <c:y val="0.26282569863510802"/>
          <c:w val="0.48658692663417075"/>
          <c:h val="0.60895860901773458"/>
        </c:manualLayout>
      </c:layout>
      <c:pieChart>
        <c:varyColors val="1"/>
        <c:ser>
          <c:idx val="0"/>
          <c:order val="0"/>
          <c:tx>
            <c:strRef>
              <c:f>'order status'!$B$3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94E5-4413-8738-6FC4C2DA9179}"/>
              </c:ext>
            </c:extLst>
          </c:dPt>
          <c:dPt>
            <c:idx val="1"/>
            <c:bubble3D val="0"/>
            <c:spPr>
              <a:solidFill>
                <a:srgbClr val="ED7D32"/>
              </a:solidFill>
              <a:ln w="19050">
                <a:solidFill>
                  <a:schemeClr val="lt1"/>
                </a:solidFill>
              </a:ln>
              <a:effectLst/>
            </c:spPr>
            <c:extLst>
              <c:ext xmlns:c16="http://schemas.microsoft.com/office/drawing/2014/chart" uri="{C3380CC4-5D6E-409C-BE32-E72D297353CC}">
                <c16:uniqueId val="{00000003-94E5-4413-8738-6FC4C2DA9179}"/>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94E5-4413-8738-6FC4C2DA9179}"/>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94E5-4413-8738-6FC4C2DA9179}"/>
              </c:ext>
            </c:extLst>
          </c:dPt>
          <c:dLbls>
            <c:dLbl>
              <c:idx val="1"/>
              <c:layout>
                <c:manualLayout>
                  <c:x val="0.17222222222222222"/>
                  <c:y val="-0.101851851851851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E5-4413-8738-6FC4C2DA9179}"/>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Returned</c:v>
                </c:pt>
                <c:pt idx="3">
                  <c:v>Shipped</c:v>
                </c:pt>
              </c:strCache>
            </c:strRef>
          </c:cat>
          <c:val>
            <c:numRef>
              <c:f>'order status'!$B$4:$B$7</c:f>
              <c:numCache>
                <c:formatCode>General</c:formatCode>
                <c:ptCount val="4"/>
                <c:pt idx="0">
                  <c:v>98</c:v>
                </c:pt>
                <c:pt idx="1">
                  <c:v>686</c:v>
                </c:pt>
                <c:pt idx="2">
                  <c:v>108</c:v>
                </c:pt>
                <c:pt idx="3">
                  <c:v>108</c:v>
                </c:pt>
              </c:numCache>
            </c:numRef>
          </c:val>
          <c:extLst>
            <c:ext xmlns:c16="http://schemas.microsoft.com/office/drawing/2014/chart" uri="{C3380CC4-5D6E-409C-BE32-E72D297353CC}">
              <c16:uniqueId val="{00000000-84BA-45F0-ADF8-3903FBB2C451}"/>
            </c:ext>
          </c:extLst>
        </c:ser>
        <c:dLbls>
          <c:showLegendKey val="0"/>
          <c:showVal val="0"/>
          <c:showCatName val="0"/>
          <c:showSerName val="0"/>
          <c:showPercent val="0"/>
          <c:showBubbleSize val="0"/>
          <c:showLeaderLines val="0"/>
        </c:dLbls>
        <c:firstSliceAng val="9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[Vrinda_Store_Report 2025.xlsx]Men vs  Women!PivotTable1</c:name>
    <c:fmtId val="2"/>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Sales : Men vs Women</a:t>
            </a:r>
          </a:p>
        </c:rich>
      </c:tx>
      <c:layout>
        <c:manualLayout>
          <c:xMode val="edge"/>
          <c:yMode val="edge"/>
          <c:x val="0.10279855643044619"/>
          <c:y val="3.2407407407407406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ED7D32"/>
          </a:solidFill>
          <a:ln w="19050">
            <a:solidFill>
              <a:schemeClr val="lt1"/>
            </a:solidFill>
          </a:ln>
          <a:effectLst/>
        </c:spPr>
        <c:dLbl>
          <c:idx val="0"/>
          <c:layout>
            <c:manualLayout>
              <c:x val="0.11388888888888889"/>
              <c:y val="-0.12962962962962971"/>
            </c:manualLayout>
          </c:layout>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2">
              <a:lumMod val="60000"/>
              <a:lumOff val="40000"/>
            </a:schemeClr>
          </a:solidFill>
          <a:ln w="19050">
            <a:solidFill>
              <a:schemeClr val="lt1"/>
            </a:solidFill>
          </a:ln>
          <a:effectLst/>
        </c:spPr>
        <c:dLbl>
          <c:idx val="0"/>
          <c:layout>
            <c:manualLayout>
              <c:x val="-9.1666666666666771E-2"/>
              <c:y val="0.1388888888888889"/>
            </c:manualLayout>
          </c:layout>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Women'!$B$3</c:f>
              <c:strCache>
                <c:ptCount val="1"/>
                <c:pt idx="0">
                  <c:v>Total</c:v>
                </c:pt>
              </c:strCache>
            </c:strRef>
          </c:tx>
          <c:spPr>
            <a:solidFill>
              <a:schemeClr val="tx2">
                <a:lumMod val="60000"/>
                <a:lumOff val="40000"/>
              </a:schemeClr>
            </a:solidFill>
          </c:spPr>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BB17-46A2-9DFD-AF7CB5F17778}"/>
              </c:ext>
            </c:extLst>
          </c:dPt>
          <c:dPt>
            <c:idx val="1"/>
            <c:bubble3D val="0"/>
            <c:spPr>
              <a:solidFill>
                <a:srgbClr val="ED7D32"/>
              </a:solidFill>
              <a:ln w="19050">
                <a:solidFill>
                  <a:schemeClr val="lt1"/>
                </a:solidFill>
              </a:ln>
              <a:effectLst/>
            </c:spPr>
            <c:extLst>
              <c:ext xmlns:c16="http://schemas.microsoft.com/office/drawing/2014/chart" uri="{C3380CC4-5D6E-409C-BE32-E72D297353CC}">
                <c16:uniqueId val="{00000002-BB17-46A2-9DFD-AF7CB5F17778}"/>
              </c:ext>
            </c:extLst>
          </c:dPt>
          <c:dLbls>
            <c:dLbl>
              <c:idx val="0"/>
              <c:layout>
                <c:manualLayout>
                  <c:x val="-9.1666666666666771E-2"/>
                  <c:y val="0.138888888888888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17-46A2-9DFD-AF7CB5F17778}"/>
                </c:ext>
              </c:extLst>
            </c:dLbl>
            <c:dLbl>
              <c:idx val="1"/>
              <c:layout>
                <c:manualLayout>
                  <c:x val="0.11388888888888889"/>
                  <c:y val="-0.129629629629629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B17-46A2-9DFD-AF7CB5F17778}"/>
                </c:ext>
              </c:extLst>
            </c:dLbl>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906580.14000000013</c:v>
                </c:pt>
                <c:pt idx="1">
                  <c:v>1751724.0100000009</c:v>
                </c:pt>
              </c:numCache>
            </c:numRef>
          </c:val>
          <c:extLst>
            <c:ext xmlns:c16="http://schemas.microsoft.com/office/drawing/2014/chart" uri="{C3380CC4-5D6E-409C-BE32-E72D297353CC}">
              <c16:uniqueId val="{00000000-BB17-46A2-9DFD-AF7CB5F1777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276732</xdr:colOff>
      <xdr:row>1</xdr:row>
      <xdr:rowOff>112119</xdr:rowOff>
    </xdr:from>
    <xdr:to>
      <xdr:col>10</xdr:col>
      <xdr:colOff>286623</xdr:colOff>
      <xdr:row>12</xdr:row>
      <xdr:rowOff>112119</xdr:rowOff>
    </xdr:to>
    <xdr:graphicFrame macro="">
      <xdr:nvGraphicFramePr>
        <xdr:cNvPr id="2" name="Chart 1">
          <a:extLst>
            <a:ext uri="{FF2B5EF4-FFF2-40B4-BE49-F238E27FC236}">
              <a16:creationId xmlns:a16="http://schemas.microsoft.com/office/drawing/2014/main" id="{D27619D7-A633-454B-97F5-03E0B907D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13982</xdr:colOff>
      <xdr:row>1</xdr:row>
      <xdr:rowOff>147576</xdr:rowOff>
    </xdr:from>
    <xdr:to>
      <xdr:col>15</xdr:col>
      <xdr:colOff>461394</xdr:colOff>
      <xdr:row>12</xdr:row>
      <xdr:rowOff>92158</xdr:rowOff>
    </xdr:to>
    <xdr:graphicFrame macro="">
      <xdr:nvGraphicFramePr>
        <xdr:cNvPr id="3" name="Chart 2">
          <a:extLst>
            <a:ext uri="{FF2B5EF4-FFF2-40B4-BE49-F238E27FC236}">
              <a16:creationId xmlns:a16="http://schemas.microsoft.com/office/drawing/2014/main" id="{B2FCE803-7982-4471-8849-B195082AA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49042</xdr:colOff>
      <xdr:row>1</xdr:row>
      <xdr:rowOff>131198</xdr:rowOff>
    </xdr:from>
    <xdr:to>
      <xdr:col>20</xdr:col>
      <xdr:colOff>360958</xdr:colOff>
      <xdr:row>12</xdr:row>
      <xdr:rowOff>82706</xdr:rowOff>
    </xdr:to>
    <xdr:graphicFrame macro="">
      <xdr:nvGraphicFramePr>
        <xdr:cNvPr id="4" name="Chart 3">
          <a:extLst>
            <a:ext uri="{FF2B5EF4-FFF2-40B4-BE49-F238E27FC236}">
              <a16:creationId xmlns:a16="http://schemas.microsoft.com/office/drawing/2014/main" id="{27A24F97-2FF1-476A-AE95-62A28BFAF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288741</xdr:colOff>
      <xdr:row>13</xdr:row>
      <xdr:rowOff>94343</xdr:rowOff>
    </xdr:from>
    <xdr:to>
      <xdr:col>8</xdr:col>
      <xdr:colOff>509115</xdr:colOff>
      <xdr:row>24</xdr:row>
      <xdr:rowOff>112794</xdr:rowOff>
    </xdr:to>
    <xdr:graphicFrame macro="">
      <xdr:nvGraphicFramePr>
        <xdr:cNvPr id="5" name="Chart 4">
          <a:extLst>
            <a:ext uri="{FF2B5EF4-FFF2-40B4-BE49-F238E27FC236}">
              <a16:creationId xmlns:a16="http://schemas.microsoft.com/office/drawing/2014/main" id="{6DAA1AF1-6BE0-4843-ABD0-058D9916C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29414</xdr:colOff>
      <xdr:row>13</xdr:row>
      <xdr:rowOff>97738</xdr:rowOff>
    </xdr:from>
    <xdr:to>
      <xdr:col>15</xdr:col>
      <xdr:colOff>527934</xdr:colOff>
      <xdr:row>24</xdr:row>
      <xdr:rowOff>116115</xdr:rowOff>
    </xdr:to>
    <xdr:graphicFrame macro="">
      <xdr:nvGraphicFramePr>
        <xdr:cNvPr id="6" name="Chart 5">
          <a:extLst>
            <a:ext uri="{FF2B5EF4-FFF2-40B4-BE49-F238E27FC236}">
              <a16:creationId xmlns:a16="http://schemas.microsoft.com/office/drawing/2014/main" id="{F84ADF46-915A-41A1-88C2-76C7D2FE9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65205</xdr:colOff>
      <xdr:row>13</xdr:row>
      <xdr:rowOff>90695</xdr:rowOff>
    </xdr:from>
    <xdr:to>
      <xdr:col>20</xdr:col>
      <xdr:colOff>366298</xdr:colOff>
      <xdr:row>24</xdr:row>
      <xdr:rowOff>108858</xdr:rowOff>
    </xdr:to>
    <xdr:graphicFrame macro="">
      <xdr:nvGraphicFramePr>
        <xdr:cNvPr id="7" name="Chart 6">
          <a:extLst>
            <a:ext uri="{FF2B5EF4-FFF2-40B4-BE49-F238E27FC236}">
              <a16:creationId xmlns:a16="http://schemas.microsoft.com/office/drawing/2014/main" id="{24AD4F3C-0695-4B4C-9E83-FA178B834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33252</xdr:colOff>
      <xdr:row>1</xdr:row>
      <xdr:rowOff>38099</xdr:rowOff>
    </xdr:from>
    <xdr:to>
      <xdr:col>2</xdr:col>
      <xdr:colOff>62346</xdr:colOff>
      <xdr:row>9</xdr:row>
      <xdr:rowOff>90055</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C2CC78E0-1F48-6048-56F5-8A36E68C948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3252" y="303750"/>
              <a:ext cx="1245498" cy="1506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27710</xdr:colOff>
      <xdr:row>9</xdr:row>
      <xdr:rowOff>109451</xdr:rowOff>
    </xdr:from>
    <xdr:to>
      <xdr:col>2</xdr:col>
      <xdr:colOff>96982</xdr:colOff>
      <xdr:row>16</xdr:row>
      <xdr:rowOff>62344</xdr:rowOff>
    </xdr:to>
    <mc:AlternateContent xmlns:mc="http://schemas.openxmlformats.org/markup-compatibility/2006">
      <mc:Choice xmlns:a14="http://schemas.microsoft.com/office/drawing/2010/main" Requires="a14">
        <xdr:graphicFrame macro="">
          <xdr:nvGraphicFramePr>
            <xdr:cNvPr id="9" name="Channel">
              <a:extLst>
                <a:ext uri="{FF2B5EF4-FFF2-40B4-BE49-F238E27FC236}">
                  <a16:creationId xmlns:a16="http://schemas.microsoft.com/office/drawing/2014/main" id="{BFF485EE-C60B-205C-9928-54CCA5A2551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27710" y="1829194"/>
              <a:ext cx="1285676" cy="1225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16</xdr:row>
      <xdr:rowOff>90420</xdr:rowOff>
    </xdr:from>
    <xdr:to>
      <xdr:col>2</xdr:col>
      <xdr:colOff>96982</xdr:colOff>
      <xdr:row>24</xdr:row>
      <xdr:rowOff>101600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415C7B78-2BDB-7AFB-5184-ACB1808414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480" y="3082493"/>
              <a:ext cx="1282906" cy="1465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6</xdr:row>
      <xdr:rowOff>45720</xdr:rowOff>
    </xdr:from>
    <xdr:to>
      <xdr:col>9</xdr:col>
      <xdr:colOff>419100</xdr:colOff>
      <xdr:row>21</xdr:row>
      <xdr:rowOff>68580</xdr:rowOff>
    </xdr:to>
    <xdr:graphicFrame macro="">
      <xdr:nvGraphicFramePr>
        <xdr:cNvPr id="4" name="Chart 3">
          <a:extLst>
            <a:ext uri="{FF2B5EF4-FFF2-40B4-BE49-F238E27FC236}">
              <a16:creationId xmlns:a16="http://schemas.microsoft.com/office/drawing/2014/main" id="{25FD3745-322C-9A45-1FC4-204323388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388620</xdr:colOff>
      <xdr:row>4</xdr:row>
      <xdr:rowOff>137160</xdr:rowOff>
    </xdr:from>
    <xdr:to>
      <xdr:col>12</xdr:col>
      <xdr:colOff>297180</xdr:colOff>
      <xdr:row>18</xdr:row>
      <xdr:rowOff>175260</xdr:rowOff>
    </xdr:to>
    <xdr:graphicFrame macro="">
      <xdr:nvGraphicFramePr>
        <xdr:cNvPr id="3" name="Chart 2">
          <a:extLst>
            <a:ext uri="{FF2B5EF4-FFF2-40B4-BE49-F238E27FC236}">
              <a16:creationId xmlns:a16="http://schemas.microsoft.com/office/drawing/2014/main" id="{1D05BDA5-7420-8E11-1F43-CEB79592E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2</xdr:row>
      <xdr:rowOff>129540</xdr:rowOff>
    </xdr:from>
    <xdr:to>
      <xdr:col>11</xdr:col>
      <xdr:colOff>312420</xdr:colOff>
      <xdr:row>17</xdr:row>
      <xdr:rowOff>129540</xdr:rowOff>
    </xdr:to>
    <xdr:graphicFrame macro="">
      <xdr:nvGraphicFramePr>
        <xdr:cNvPr id="2" name="Chart 1">
          <a:extLst>
            <a:ext uri="{FF2B5EF4-FFF2-40B4-BE49-F238E27FC236}">
              <a16:creationId xmlns:a16="http://schemas.microsoft.com/office/drawing/2014/main" id="{746D2EC2-B120-DE69-6668-FF06727C3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254000</xdr:colOff>
      <xdr:row>4</xdr:row>
      <xdr:rowOff>102973</xdr:rowOff>
    </xdr:from>
    <xdr:to>
      <xdr:col>13</xdr:col>
      <xdr:colOff>549189</xdr:colOff>
      <xdr:row>21</xdr:row>
      <xdr:rowOff>82378</xdr:rowOff>
    </xdr:to>
    <xdr:graphicFrame macro="">
      <xdr:nvGraphicFramePr>
        <xdr:cNvPr id="2" name="Chart 1">
          <a:extLst>
            <a:ext uri="{FF2B5EF4-FFF2-40B4-BE49-F238E27FC236}">
              <a16:creationId xmlns:a16="http://schemas.microsoft.com/office/drawing/2014/main" id="{0CAA7BFA-05B2-1D9F-CFD8-F9517C949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342900</xdr:colOff>
      <xdr:row>3</xdr:row>
      <xdr:rowOff>137160</xdr:rowOff>
    </xdr:from>
    <xdr:to>
      <xdr:col>10</xdr:col>
      <xdr:colOff>533400</xdr:colOff>
      <xdr:row>18</xdr:row>
      <xdr:rowOff>160020</xdr:rowOff>
    </xdr:to>
    <xdr:graphicFrame macro="">
      <xdr:nvGraphicFramePr>
        <xdr:cNvPr id="2" name="Chart 1">
          <a:extLst>
            <a:ext uri="{FF2B5EF4-FFF2-40B4-BE49-F238E27FC236}">
              <a16:creationId xmlns:a16="http://schemas.microsoft.com/office/drawing/2014/main" id="{524D8146-9A81-60BF-33C5-5AAD8EE25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387533</xdr:colOff>
      <xdr:row>1</xdr:row>
      <xdr:rowOff>124408</xdr:rowOff>
    </xdr:from>
    <xdr:to>
      <xdr:col>14</xdr:col>
      <xdr:colOff>124408</xdr:colOff>
      <xdr:row>16</xdr:row>
      <xdr:rowOff>108857</xdr:rowOff>
    </xdr:to>
    <xdr:graphicFrame macro="">
      <xdr:nvGraphicFramePr>
        <xdr:cNvPr id="3" name="Chart 2">
          <a:extLst>
            <a:ext uri="{FF2B5EF4-FFF2-40B4-BE49-F238E27FC236}">
              <a16:creationId xmlns:a16="http://schemas.microsoft.com/office/drawing/2014/main" id="{955FD24B-87C6-6597-AC0A-A565D3709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RAJPUT" refreshedDate="46212.786319791667" createdVersion="8" refreshedVersion="8" minRefreshableVersion="3" recordCount="1000" xr:uid="{DEFEA172-8A0F-4CB2-BCEC-13272EE872D0}">
  <cacheSource type="worksheet">
    <worksheetSource ref="A1:U1001" sheet="Vrinda Store"/>
  </cacheSource>
  <cacheFields count="21">
    <cacheField name="Index" numFmtId="0">
      <sharedItems containsSemiMixedTypes="0" containsString="0" containsNumber="1" containsInteger="1" minValue="1" maxValue="1000"/>
    </cacheField>
    <cacheField name="Order ID" numFmtId="0">
      <sharedItems/>
    </cacheField>
    <cacheField name="Cust ID" numFmtId="0">
      <sharedItems/>
    </cacheField>
    <cacheField name="Gender" numFmtId="0">
      <sharedItems count="2">
        <s v="Women"/>
        <s v="Men"/>
      </sharedItems>
    </cacheField>
    <cacheField name="Age" numFmtId="0">
      <sharedItems containsSemiMixedTypes="0" containsString="0" containsNumber="1" containsInteger="1" minValue="18" maxValue="60"/>
    </cacheField>
    <cacheField name="Age Group" numFmtId="0">
      <sharedItems count="3">
        <s v="Senior"/>
        <s v="Teenager"/>
        <s v="Adult"/>
      </sharedItems>
    </cacheField>
    <cacheField name="Date" numFmtId="0">
      <sharedItems/>
    </cacheField>
    <cacheField name="Month" numFmtId="0">
      <sharedItems count="12">
        <s v="Mar"/>
        <s v="Dec"/>
        <s v="May"/>
        <s v="Jun"/>
        <s v="Oct"/>
        <s v="Aug"/>
        <s v="Nov"/>
        <s v="Sep"/>
        <s v="Feb"/>
        <s v="Jul"/>
        <s v="Jan"/>
        <s v="Apr"/>
      </sharedItems>
    </cacheField>
    <cacheField name="Status" numFmtId="0">
      <sharedItems count="4">
        <s v="Returned"/>
        <s v="Cancelled"/>
        <s v="Delivered"/>
        <s v="Shipped"/>
      </sharedItems>
    </cacheField>
    <cacheField name="Channel" numFmtId="0">
      <sharedItems count="6">
        <s v="Amazon"/>
        <s v="Ajio"/>
        <s v="Meesho"/>
        <s v="Flipkart"/>
        <s v="Myntra"/>
        <s v="Website"/>
      </sharedItems>
    </cacheField>
    <cacheField name="SKU" numFmtId="0">
      <sharedItems/>
    </cacheField>
    <cacheField name="Category" numFmtId="0">
      <sharedItems count="6">
        <s v="Top"/>
        <s v="Shirt"/>
        <s v="Kurta"/>
        <s v="Jeans"/>
        <s v="Saree"/>
        <s v="Dress"/>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minValue="299.68" maxValue="4995.47"/>
    </cacheField>
    <cacheField name="Ship-City" numFmtId="0">
      <sharedItems/>
    </cacheField>
    <cacheField name="Ship-State" numFmtId="0">
      <sharedItems count="5">
        <s v="Maharashtra"/>
        <s v="Karnataka"/>
        <s v="Rajasthan"/>
        <s v="Delhi"/>
        <s v="Uttar Pradesh"/>
      </sharedItems>
    </cacheField>
    <cacheField name="Ship-Postal-Code" numFmtId="0">
      <sharedItems containsSemiMixedTypes="0" containsString="0" containsNumber="1" containsInteger="1" minValue="110001" maxValue="560001"/>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452894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ORD202500001"/>
    <s v="CUST1057"/>
    <x v="0"/>
    <n v="56"/>
    <x v="0"/>
    <s v="2025-03-08"/>
    <x v="0"/>
    <x v="0"/>
    <x v="0"/>
    <s v="SKU61485"/>
    <x v="0"/>
    <s v="XL"/>
    <n v="1"/>
    <s v="INR"/>
    <n v="2920.67"/>
    <s v="Mumbai"/>
    <x v="0"/>
    <n v="400001"/>
    <s v="India"/>
    <s v="No"/>
  </r>
  <r>
    <n v="2"/>
    <s v="ORD202500002"/>
    <s v="CUST8739"/>
    <x v="1"/>
    <n v="21"/>
    <x v="1"/>
    <s v="2025-03-27"/>
    <x v="0"/>
    <x v="0"/>
    <x v="1"/>
    <s v="SKU31832"/>
    <x v="1"/>
    <s v="S"/>
    <n v="4"/>
    <s v="INR"/>
    <n v="1025.52"/>
    <s v="Bengaluru"/>
    <x v="1"/>
    <n v="560001"/>
    <s v="India"/>
    <s v="No"/>
  </r>
  <r>
    <n v="3"/>
    <s v="ORD202500003"/>
    <s v="CUST7141"/>
    <x v="0"/>
    <n v="58"/>
    <x v="0"/>
    <s v="2025-12-11"/>
    <x v="1"/>
    <x v="0"/>
    <x v="2"/>
    <s v="SKU91814"/>
    <x v="0"/>
    <s v="S"/>
    <n v="5"/>
    <s v="INR"/>
    <n v="3898.44"/>
    <s v="Jaipur"/>
    <x v="2"/>
    <n v="302001"/>
    <s v="India"/>
    <s v="Yes"/>
  </r>
  <r>
    <n v="4"/>
    <s v="ORD202500004"/>
    <s v="CUST8408"/>
    <x v="1"/>
    <n v="57"/>
    <x v="0"/>
    <s v="2025-05-17"/>
    <x v="2"/>
    <x v="1"/>
    <x v="2"/>
    <s v="SKU65414"/>
    <x v="1"/>
    <s v="L"/>
    <n v="1"/>
    <s v="INR"/>
    <n v="2975.89"/>
    <s v="Delhi"/>
    <x v="3"/>
    <n v="110001"/>
    <s v="India"/>
    <s v="Yes"/>
  </r>
  <r>
    <n v="5"/>
    <s v="ORD202500005"/>
    <s v="CUST4077"/>
    <x v="1"/>
    <n v="53"/>
    <x v="0"/>
    <s v="2025-06-13"/>
    <x v="3"/>
    <x v="1"/>
    <x v="2"/>
    <s v="SKU19115"/>
    <x v="2"/>
    <s v="XL"/>
    <n v="5"/>
    <s v="INR"/>
    <n v="3582.82"/>
    <s v="Bengaluru"/>
    <x v="3"/>
    <n v="560001"/>
    <s v="India"/>
    <s v="Yes"/>
  </r>
  <r>
    <n v="6"/>
    <s v="ORD202500006"/>
    <s v="CUST3876"/>
    <x v="0"/>
    <n v="33"/>
    <x v="2"/>
    <s v="2025-10-17"/>
    <x v="4"/>
    <x v="2"/>
    <x v="2"/>
    <s v="SKU40397"/>
    <x v="3"/>
    <s v="L"/>
    <n v="1"/>
    <s v="INR"/>
    <n v="2466.5700000000002"/>
    <s v="Bengaluru"/>
    <x v="3"/>
    <n v="560001"/>
    <s v="India"/>
    <s v="Yes"/>
  </r>
  <r>
    <n v="7"/>
    <s v="ORD202500007"/>
    <s v="CUST5331"/>
    <x v="0"/>
    <n v="58"/>
    <x v="0"/>
    <s v="2025-12-26"/>
    <x v="1"/>
    <x v="2"/>
    <x v="2"/>
    <s v="SKU72492"/>
    <x v="0"/>
    <s v="XL"/>
    <n v="3"/>
    <s v="INR"/>
    <n v="305.39999999999998"/>
    <s v="Bengaluru"/>
    <x v="3"/>
    <n v="560001"/>
    <s v="India"/>
    <s v="Yes"/>
  </r>
  <r>
    <n v="8"/>
    <s v="ORD202500008"/>
    <s v="CUST4960"/>
    <x v="0"/>
    <n v="38"/>
    <x v="2"/>
    <s v="2025-03-28"/>
    <x v="0"/>
    <x v="2"/>
    <x v="2"/>
    <s v="SKU67068"/>
    <x v="4"/>
    <s v="L"/>
    <n v="4"/>
    <s v="INR"/>
    <n v="983.39"/>
    <s v="Lucknow"/>
    <x v="3"/>
    <n v="226001"/>
    <s v="India"/>
    <s v="No"/>
  </r>
  <r>
    <n v="9"/>
    <s v="ORD202500009"/>
    <s v="CUST9007"/>
    <x v="1"/>
    <n v="34"/>
    <x v="2"/>
    <s v="2025-08-26"/>
    <x v="5"/>
    <x v="2"/>
    <x v="2"/>
    <s v="SKU51029"/>
    <x v="3"/>
    <s v="XL"/>
    <n v="3"/>
    <s v="INR"/>
    <n v="2090.77"/>
    <s v="Mumbai"/>
    <x v="3"/>
    <n v="400001"/>
    <s v="India"/>
    <s v="Yes"/>
  </r>
  <r>
    <n v="10"/>
    <s v="ORD202500010"/>
    <s v="CUST6105"/>
    <x v="0"/>
    <n v="29"/>
    <x v="1"/>
    <s v="2025-11-30"/>
    <x v="6"/>
    <x v="2"/>
    <x v="3"/>
    <s v="SKU86126"/>
    <x v="3"/>
    <s v="M"/>
    <n v="2"/>
    <s v="INR"/>
    <n v="4832.5"/>
    <s v="Lucknow"/>
    <x v="3"/>
    <n v="226001"/>
    <s v="India"/>
    <s v="Yes"/>
  </r>
  <r>
    <n v="11"/>
    <s v="ORD202500011"/>
    <s v="CUST9155"/>
    <x v="0"/>
    <n v="57"/>
    <x v="0"/>
    <s v="2025-08-21"/>
    <x v="5"/>
    <x v="2"/>
    <x v="2"/>
    <s v="SKU81171"/>
    <x v="2"/>
    <s v="M"/>
    <n v="5"/>
    <s v="INR"/>
    <n v="2619.5500000000002"/>
    <s v="Lucknow"/>
    <x v="3"/>
    <n v="226001"/>
    <s v="India"/>
    <s v="No"/>
  </r>
  <r>
    <n v="12"/>
    <s v="ORD202500012"/>
    <s v="CUST5320"/>
    <x v="0"/>
    <n v="40"/>
    <x v="2"/>
    <s v="2025-12-15"/>
    <x v="1"/>
    <x v="2"/>
    <x v="4"/>
    <s v="SKU79115"/>
    <x v="1"/>
    <s v="L"/>
    <n v="5"/>
    <s v="INR"/>
    <n v="1228.81"/>
    <s v="Lucknow"/>
    <x v="3"/>
    <n v="226001"/>
    <s v="India"/>
    <s v="Yes"/>
  </r>
  <r>
    <n v="13"/>
    <s v="ORD202500013"/>
    <s v="CUST5395"/>
    <x v="0"/>
    <n v="38"/>
    <x v="2"/>
    <s v="2025-06-04"/>
    <x v="3"/>
    <x v="2"/>
    <x v="0"/>
    <s v="SKU82599"/>
    <x v="2"/>
    <s v="L"/>
    <n v="2"/>
    <s v="INR"/>
    <n v="1589.88"/>
    <s v="Lucknow"/>
    <x v="3"/>
    <n v="226001"/>
    <s v="India"/>
    <s v="Yes"/>
  </r>
  <r>
    <n v="14"/>
    <s v="ORD202500014"/>
    <s v="CUST8329"/>
    <x v="1"/>
    <n v="18"/>
    <x v="1"/>
    <s v="2025-11-10"/>
    <x v="6"/>
    <x v="3"/>
    <x v="5"/>
    <s v="SKU41941"/>
    <x v="1"/>
    <s v="L"/>
    <n v="2"/>
    <s v="INR"/>
    <n v="1247.58"/>
    <s v="Bengaluru"/>
    <x v="3"/>
    <n v="560001"/>
    <s v="India"/>
    <s v="Yes"/>
  </r>
  <r>
    <n v="15"/>
    <s v="ORD202500015"/>
    <s v="CUST6246"/>
    <x v="0"/>
    <n v="46"/>
    <x v="2"/>
    <s v="2025-09-08"/>
    <x v="7"/>
    <x v="2"/>
    <x v="2"/>
    <s v="SKU86504"/>
    <x v="5"/>
    <s v="L"/>
    <n v="5"/>
    <s v="INR"/>
    <n v="3490.03"/>
    <s v="Lucknow"/>
    <x v="3"/>
    <n v="226001"/>
    <s v="India"/>
    <s v="No"/>
  </r>
  <r>
    <n v="16"/>
    <s v="ORD202500016"/>
    <s v="CUST4744"/>
    <x v="0"/>
    <n v="53"/>
    <x v="0"/>
    <s v="2025-12-10"/>
    <x v="1"/>
    <x v="0"/>
    <x v="0"/>
    <s v="SKU64084"/>
    <x v="3"/>
    <s v="M"/>
    <n v="3"/>
    <s v="INR"/>
    <n v="908.38"/>
    <s v="Mumbai"/>
    <x v="3"/>
    <n v="400001"/>
    <s v="India"/>
    <s v="No"/>
  </r>
  <r>
    <n v="17"/>
    <s v="ORD202500017"/>
    <s v="CUST2917"/>
    <x v="1"/>
    <n v="28"/>
    <x v="1"/>
    <s v="2025-03-11"/>
    <x v="0"/>
    <x v="2"/>
    <x v="2"/>
    <s v="SKU97222"/>
    <x v="5"/>
    <s v="XL"/>
    <n v="4"/>
    <s v="INR"/>
    <n v="3741.25"/>
    <s v="Jaipur"/>
    <x v="3"/>
    <n v="302001"/>
    <s v="India"/>
    <s v="No"/>
  </r>
  <r>
    <n v="18"/>
    <s v="ORD202500018"/>
    <s v="CUST2905"/>
    <x v="0"/>
    <n v="45"/>
    <x v="2"/>
    <s v="2025-10-23"/>
    <x v="4"/>
    <x v="1"/>
    <x v="2"/>
    <s v="SKU36688"/>
    <x v="3"/>
    <s v="XL"/>
    <n v="4"/>
    <s v="INR"/>
    <n v="916.1"/>
    <s v="Jaipur"/>
    <x v="3"/>
    <n v="302001"/>
    <s v="India"/>
    <s v="Yes"/>
  </r>
  <r>
    <n v="19"/>
    <s v="ORD202500019"/>
    <s v="CUST6345"/>
    <x v="0"/>
    <n v="50"/>
    <x v="0"/>
    <s v="2025-12-26"/>
    <x v="1"/>
    <x v="2"/>
    <x v="3"/>
    <s v="SKU20974"/>
    <x v="4"/>
    <s v="S"/>
    <n v="3"/>
    <s v="INR"/>
    <n v="2158.27"/>
    <s v="Bengaluru"/>
    <x v="3"/>
    <n v="560001"/>
    <s v="India"/>
    <s v="No"/>
  </r>
  <r>
    <n v="20"/>
    <s v="ORD202500020"/>
    <s v="CUST9737"/>
    <x v="1"/>
    <n v="36"/>
    <x v="2"/>
    <s v="2025-05-17"/>
    <x v="2"/>
    <x v="2"/>
    <x v="3"/>
    <s v="SKU10094"/>
    <x v="3"/>
    <s v="L"/>
    <n v="3"/>
    <s v="INR"/>
    <n v="1596.23"/>
    <s v="Mumbai"/>
    <x v="3"/>
    <n v="400001"/>
    <s v="India"/>
    <s v="Yes"/>
  </r>
  <r>
    <n v="21"/>
    <s v="ORD202500021"/>
    <s v="CUST3401"/>
    <x v="0"/>
    <n v="29"/>
    <x v="1"/>
    <s v="2025-05-06"/>
    <x v="2"/>
    <x v="2"/>
    <x v="5"/>
    <s v="SKU53047"/>
    <x v="0"/>
    <s v="M"/>
    <n v="2"/>
    <s v="INR"/>
    <n v="389.11"/>
    <s v="Lucknow"/>
    <x v="3"/>
    <n v="226001"/>
    <s v="India"/>
    <s v="No"/>
  </r>
  <r>
    <n v="22"/>
    <s v="ORD202500022"/>
    <s v="CUST6464"/>
    <x v="0"/>
    <n v="50"/>
    <x v="0"/>
    <s v="2025-11-10"/>
    <x v="6"/>
    <x v="2"/>
    <x v="5"/>
    <s v="SKU37085"/>
    <x v="2"/>
    <s v="M"/>
    <n v="5"/>
    <s v="INR"/>
    <n v="766.59"/>
    <s v="Jaipur"/>
    <x v="3"/>
    <n v="302001"/>
    <s v="India"/>
    <s v="Yes"/>
  </r>
  <r>
    <n v="23"/>
    <s v="ORD202500023"/>
    <s v="CUST9048"/>
    <x v="1"/>
    <n v="45"/>
    <x v="2"/>
    <s v="2025-02-14"/>
    <x v="8"/>
    <x v="2"/>
    <x v="5"/>
    <s v="SKU61318"/>
    <x v="3"/>
    <s v="XL"/>
    <n v="1"/>
    <s v="INR"/>
    <n v="3438.78"/>
    <s v="Lucknow"/>
    <x v="3"/>
    <n v="226001"/>
    <s v="India"/>
    <s v="No"/>
  </r>
  <r>
    <n v="24"/>
    <s v="ORD202500024"/>
    <s v="CUST2384"/>
    <x v="1"/>
    <n v="55"/>
    <x v="0"/>
    <s v="2025-02-20"/>
    <x v="8"/>
    <x v="2"/>
    <x v="1"/>
    <s v="SKU19464"/>
    <x v="3"/>
    <s v="M"/>
    <n v="2"/>
    <s v="INR"/>
    <n v="3394.92"/>
    <s v="Mumbai"/>
    <x v="0"/>
    <n v="400001"/>
    <s v="India"/>
    <s v="No"/>
  </r>
  <r>
    <n v="25"/>
    <s v="ORD202500025"/>
    <s v="CUST1595"/>
    <x v="1"/>
    <n v="27"/>
    <x v="1"/>
    <s v="2025-12-05"/>
    <x v="1"/>
    <x v="2"/>
    <x v="3"/>
    <s v="SKU31090"/>
    <x v="2"/>
    <s v="L"/>
    <n v="2"/>
    <s v="INR"/>
    <n v="3853.8"/>
    <s v="Jaipur"/>
    <x v="2"/>
    <n v="302001"/>
    <s v="India"/>
    <s v="No"/>
  </r>
  <r>
    <n v="26"/>
    <s v="ORD202500026"/>
    <s v="CUST7544"/>
    <x v="1"/>
    <n v="43"/>
    <x v="2"/>
    <s v="2025-10-07"/>
    <x v="4"/>
    <x v="2"/>
    <x v="3"/>
    <s v="SKU65651"/>
    <x v="5"/>
    <s v="M"/>
    <n v="4"/>
    <s v="INR"/>
    <n v="1722.89"/>
    <s v="Bengaluru"/>
    <x v="1"/>
    <n v="560001"/>
    <s v="India"/>
    <s v="No"/>
  </r>
  <r>
    <n v="27"/>
    <s v="ORD202500027"/>
    <s v="CUST5150"/>
    <x v="1"/>
    <n v="23"/>
    <x v="1"/>
    <s v="2025-07-21"/>
    <x v="9"/>
    <x v="2"/>
    <x v="3"/>
    <s v="SKU91900"/>
    <x v="5"/>
    <s v="L"/>
    <n v="1"/>
    <s v="INR"/>
    <n v="3857.64"/>
    <s v="Mumbai"/>
    <x v="0"/>
    <n v="400001"/>
    <s v="India"/>
    <s v="No"/>
  </r>
  <r>
    <n v="28"/>
    <s v="ORD202500028"/>
    <s v="CUST6846"/>
    <x v="0"/>
    <n v="25"/>
    <x v="1"/>
    <s v="2025-08-09"/>
    <x v="5"/>
    <x v="2"/>
    <x v="0"/>
    <s v="SKU99039"/>
    <x v="3"/>
    <s v="XL"/>
    <n v="2"/>
    <s v="INR"/>
    <n v="472.12"/>
    <s v="Delhi"/>
    <x v="3"/>
    <n v="110001"/>
    <s v="India"/>
    <s v="No"/>
  </r>
  <r>
    <n v="29"/>
    <s v="ORD202500029"/>
    <s v="CUST8253"/>
    <x v="0"/>
    <n v="23"/>
    <x v="1"/>
    <s v="2025-08-20"/>
    <x v="5"/>
    <x v="2"/>
    <x v="3"/>
    <s v="SKU76729"/>
    <x v="4"/>
    <s v="M"/>
    <n v="2"/>
    <s v="INR"/>
    <n v="4857.95"/>
    <s v="Lucknow"/>
    <x v="4"/>
    <n v="226001"/>
    <s v="India"/>
    <s v="Yes"/>
  </r>
  <r>
    <n v="30"/>
    <s v="ORD202500030"/>
    <s v="CUST4005"/>
    <x v="1"/>
    <n v="26"/>
    <x v="1"/>
    <s v="2025-03-24"/>
    <x v="0"/>
    <x v="2"/>
    <x v="3"/>
    <s v="SKU45619"/>
    <x v="3"/>
    <s v="S"/>
    <n v="5"/>
    <s v="INR"/>
    <n v="1519.98"/>
    <s v="Mumbai"/>
    <x v="0"/>
    <n v="400001"/>
    <s v="India"/>
    <s v="No"/>
  </r>
  <r>
    <n v="31"/>
    <s v="ORD202500031"/>
    <s v="CUST9590"/>
    <x v="1"/>
    <n v="40"/>
    <x v="2"/>
    <s v="2025-01-25"/>
    <x v="10"/>
    <x v="2"/>
    <x v="0"/>
    <s v="SKU42782"/>
    <x v="5"/>
    <s v="L"/>
    <n v="3"/>
    <s v="INR"/>
    <n v="830.5"/>
    <s v="Mumbai"/>
    <x v="0"/>
    <n v="400001"/>
    <s v="India"/>
    <s v="No"/>
  </r>
  <r>
    <n v="32"/>
    <s v="ORD202500032"/>
    <s v="CUST4346"/>
    <x v="1"/>
    <n v="55"/>
    <x v="0"/>
    <s v="2025-07-13"/>
    <x v="9"/>
    <x v="0"/>
    <x v="0"/>
    <s v="SKU32347"/>
    <x v="2"/>
    <s v="XL"/>
    <n v="5"/>
    <s v="INR"/>
    <n v="4834.6899999999996"/>
    <s v="Mumbai"/>
    <x v="0"/>
    <n v="400001"/>
    <s v="India"/>
    <s v="Yes"/>
  </r>
  <r>
    <n v="33"/>
    <s v="ORD202500033"/>
    <s v="CUST9761"/>
    <x v="1"/>
    <n v="40"/>
    <x v="2"/>
    <s v="2025-04-01"/>
    <x v="11"/>
    <x v="2"/>
    <x v="2"/>
    <s v="SKU49521"/>
    <x v="2"/>
    <s v="XL"/>
    <n v="4"/>
    <s v="INR"/>
    <n v="808.66"/>
    <s v="Mumbai"/>
    <x v="0"/>
    <n v="400001"/>
    <s v="India"/>
    <s v="Yes"/>
  </r>
  <r>
    <n v="34"/>
    <s v="ORD202500034"/>
    <s v="CUST4463"/>
    <x v="0"/>
    <n v="24"/>
    <x v="1"/>
    <s v="2025-04-17"/>
    <x v="11"/>
    <x v="2"/>
    <x v="1"/>
    <s v="SKU69456"/>
    <x v="1"/>
    <s v="M"/>
    <n v="3"/>
    <s v="INR"/>
    <n v="4800.04"/>
    <s v="Mumbai"/>
    <x v="0"/>
    <n v="400001"/>
    <s v="India"/>
    <s v="Yes"/>
  </r>
  <r>
    <n v="35"/>
    <s v="ORD202500035"/>
    <s v="CUST9018"/>
    <x v="0"/>
    <n v="26"/>
    <x v="1"/>
    <s v="2025-07-30"/>
    <x v="9"/>
    <x v="2"/>
    <x v="1"/>
    <s v="SKU95325"/>
    <x v="3"/>
    <s v="M"/>
    <n v="4"/>
    <s v="INR"/>
    <n v="1205.3599999999999"/>
    <s v="Jaipur"/>
    <x v="2"/>
    <n v="302001"/>
    <s v="India"/>
    <s v="Yes"/>
  </r>
  <r>
    <n v="36"/>
    <s v="ORD202500036"/>
    <s v="CUST8552"/>
    <x v="0"/>
    <n v="57"/>
    <x v="0"/>
    <s v="2025-04-13"/>
    <x v="11"/>
    <x v="2"/>
    <x v="5"/>
    <s v="SKU24942"/>
    <x v="2"/>
    <s v="S"/>
    <n v="3"/>
    <s v="INR"/>
    <n v="1979.63"/>
    <s v="Mumbai"/>
    <x v="0"/>
    <n v="400001"/>
    <s v="India"/>
    <s v="No"/>
  </r>
  <r>
    <n v="37"/>
    <s v="ORD202500037"/>
    <s v="CUST6187"/>
    <x v="0"/>
    <n v="58"/>
    <x v="0"/>
    <s v="2025-09-02"/>
    <x v="7"/>
    <x v="2"/>
    <x v="5"/>
    <s v="SKU37370"/>
    <x v="1"/>
    <s v="S"/>
    <n v="3"/>
    <s v="INR"/>
    <n v="1638.89"/>
    <s v="Lucknow"/>
    <x v="4"/>
    <n v="226001"/>
    <s v="India"/>
    <s v="No"/>
  </r>
  <r>
    <n v="38"/>
    <s v="ORD202500038"/>
    <s v="CUST8311"/>
    <x v="1"/>
    <n v="30"/>
    <x v="2"/>
    <s v="2025-10-19"/>
    <x v="4"/>
    <x v="2"/>
    <x v="4"/>
    <s v="SKU85936"/>
    <x v="2"/>
    <s v="M"/>
    <n v="3"/>
    <s v="INR"/>
    <n v="2499.23"/>
    <s v="Mumbai"/>
    <x v="0"/>
    <n v="400001"/>
    <s v="India"/>
    <s v="No"/>
  </r>
  <r>
    <n v="39"/>
    <s v="ORD202500039"/>
    <s v="CUST7295"/>
    <x v="0"/>
    <n v="23"/>
    <x v="1"/>
    <s v="2025-03-12"/>
    <x v="0"/>
    <x v="2"/>
    <x v="1"/>
    <s v="SKU59450"/>
    <x v="4"/>
    <s v="M"/>
    <n v="4"/>
    <s v="INR"/>
    <n v="2585.64"/>
    <s v="Lucknow"/>
    <x v="4"/>
    <n v="226001"/>
    <s v="India"/>
    <s v="No"/>
  </r>
  <r>
    <n v="40"/>
    <s v="ORD202500040"/>
    <s v="CUST8661"/>
    <x v="0"/>
    <n v="18"/>
    <x v="1"/>
    <s v="2025-10-10"/>
    <x v="4"/>
    <x v="2"/>
    <x v="3"/>
    <s v="SKU59487"/>
    <x v="4"/>
    <s v="M"/>
    <n v="3"/>
    <s v="INR"/>
    <n v="4004.81"/>
    <s v="Mumbai"/>
    <x v="0"/>
    <n v="400001"/>
    <s v="India"/>
    <s v="No"/>
  </r>
  <r>
    <n v="41"/>
    <s v="ORD202500041"/>
    <s v="CUST8118"/>
    <x v="0"/>
    <n v="43"/>
    <x v="2"/>
    <s v="2025-01-15"/>
    <x v="10"/>
    <x v="2"/>
    <x v="4"/>
    <s v="SKU95616"/>
    <x v="1"/>
    <s v="L"/>
    <n v="1"/>
    <s v="INR"/>
    <n v="1421.17"/>
    <s v="Bengaluru"/>
    <x v="1"/>
    <n v="560001"/>
    <s v="India"/>
    <s v="No"/>
  </r>
  <r>
    <n v="42"/>
    <s v="ORD202500042"/>
    <s v="CUST7996"/>
    <x v="1"/>
    <n v="29"/>
    <x v="1"/>
    <s v="2025-03-27"/>
    <x v="0"/>
    <x v="2"/>
    <x v="1"/>
    <s v="SKU67320"/>
    <x v="0"/>
    <s v="M"/>
    <n v="1"/>
    <s v="INR"/>
    <n v="3973.39"/>
    <s v="Mumbai"/>
    <x v="0"/>
    <n v="400001"/>
    <s v="India"/>
    <s v="Yes"/>
  </r>
  <r>
    <n v="43"/>
    <s v="ORD202500043"/>
    <s v="CUST6190"/>
    <x v="1"/>
    <n v="24"/>
    <x v="1"/>
    <s v="2025-07-19"/>
    <x v="9"/>
    <x v="2"/>
    <x v="4"/>
    <s v="SKU80095"/>
    <x v="5"/>
    <s v="L"/>
    <n v="4"/>
    <s v="INR"/>
    <n v="3361.76"/>
    <s v="Bengaluru"/>
    <x v="1"/>
    <n v="560001"/>
    <s v="India"/>
    <s v="No"/>
  </r>
  <r>
    <n v="44"/>
    <s v="ORD202500044"/>
    <s v="CUST7054"/>
    <x v="0"/>
    <n v="59"/>
    <x v="0"/>
    <s v="2025-03-30"/>
    <x v="0"/>
    <x v="2"/>
    <x v="3"/>
    <s v="SKU89932"/>
    <x v="3"/>
    <s v="S"/>
    <n v="4"/>
    <s v="INR"/>
    <n v="3550.45"/>
    <s v="Delhi"/>
    <x v="3"/>
    <n v="110001"/>
    <s v="India"/>
    <s v="No"/>
  </r>
  <r>
    <n v="45"/>
    <s v="ORD202500045"/>
    <s v="CUST5368"/>
    <x v="1"/>
    <n v="22"/>
    <x v="1"/>
    <s v="2025-08-05"/>
    <x v="5"/>
    <x v="2"/>
    <x v="3"/>
    <s v="SKU31889"/>
    <x v="3"/>
    <s v="S"/>
    <n v="4"/>
    <s v="INR"/>
    <n v="2183.89"/>
    <s v="Bengaluru"/>
    <x v="1"/>
    <n v="560001"/>
    <s v="India"/>
    <s v="Yes"/>
  </r>
  <r>
    <n v="46"/>
    <s v="ORD202500046"/>
    <s v="CUST2334"/>
    <x v="1"/>
    <n v="35"/>
    <x v="2"/>
    <s v="2025-07-15"/>
    <x v="9"/>
    <x v="2"/>
    <x v="2"/>
    <s v="SKU25645"/>
    <x v="5"/>
    <s v="XL"/>
    <n v="5"/>
    <s v="INR"/>
    <n v="2520.44"/>
    <s v="Lucknow"/>
    <x v="4"/>
    <n v="226001"/>
    <s v="India"/>
    <s v="No"/>
  </r>
  <r>
    <n v="47"/>
    <s v="ORD202500047"/>
    <s v="CUST7735"/>
    <x v="1"/>
    <n v="23"/>
    <x v="1"/>
    <s v="2025-01-13"/>
    <x v="10"/>
    <x v="2"/>
    <x v="0"/>
    <s v="SKU38149"/>
    <x v="0"/>
    <s v="M"/>
    <n v="4"/>
    <s v="INR"/>
    <n v="765.71"/>
    <s v="Jaipur"/>
    <x v="2"/>
    <n v="302001"/>
    <s v="India"/>
    <s v="No"/>
  </r>
  <r>
    <n v="48"/>
    <s v="ORD202500048"/>
    <s v="CUST3038"/>
    <x v="1"/>
    <n v="24"/>
    <x v="1"/>
    <s v="2025-08-24"/>
    <x v="5"/>
    <x v="2"/>
    <x v="5"/>
    <s v="SKU30906"/>
    <x v="5"/>
    <s v="S"/>
    <n v="1"/>
    <s v="INR"/>
    <n v="2995.99"/>
    <s v="Jaipur"/>
    <x v="2"/>
    <n v="302001"/>
    <s v="India"/>
    <s v="No"/>
  </r>
  <r>
    <n v="49"/>
    <s v="ORD202500049"/>
    <s v="CUST2691"/>
    <x v="1"/>
    <n v="57"/>
    <x v="0"/>
    <s v="2025-02-12"/>
    <x v="8"/>
    <x v="1"/>
    <x v="0"/>
    <s v="SKU68799"/>
    <x v="3"/>
    <s v="S"/>
    <n v="3"/>
    <s v="INR"/>
    <n v="2442.4899999999998"/>
    <s v="Bengaluru"/>
    <x v="1"/>
    <n v="560001"/>
    <s v="India"/>
    <s v="Yes"/>
  </r>
  <r>
    <n v="50"/>
    <s v="ORD202500050"/>
    <s v="CUST8381"/>
    <x v="1"/>
    <n v="34"/>
    <x v="2"/>
    <s v="2025-05-30"/>
    <x v="2"/>
    <x v="0"/>
    <x v="2"/>
    <s v="SKU68045"/>
    <x v="2"/>
    <s v="L"/>
    <n v="3"/>
    <s v="INR"/>
    <n v="3737.47"/>
    <s v="Mumbai"/>
    <x v="0"/>
    <n v="400001"/>
    <s v="India"/>
    <s v="Yes"/>
  </r>
  <r>
    <n v="51"/>
    <s v="ORD202500051"/>
    <s v="CUST5796"/>
    <x v="0"/>
    <n v="57"/>
    <x v="0"/>
    <s v="2025-11-23"/>
    <x v="6"/>
    <x v="2"/>
    <x v="1"/>
    <s v="SKU57866"/>
    <x v="0"/>
    <s v="M"/>
    <n v="2"/>
    <s v="INR"/>
    <n v="2425.7600000000002"/>
    <s v="Lucknow"/>
    <x v="4"/>
    <n v="226001"/>
    <s v="India"/>
    <s v="Yes"/>
  </r>
  <r>
    <n v="52"/>
    <s v="ORD202500052"/>
    <s v="CUST1599"/>
    <x v="0"/>
    <n v="41"/>
    <x v="2"/>
    <s v="2025-11-14"/>
    <x v="6"/>
    <x v="2"/>
    <x v="3"/>
    <s v="SKU97473"/>
    <x v="0"/>
    <s v="XL"/>
    <n v="2"/>
    <s v="INR"/>
    <n v="307.23"/>
    <s v="Bengaluru"/>
    <x v="1"/>
    <n v="560001"/>
    <s v="India"/>
    <s v="Yes"/>
  </r>
  <r>
    <n v="53"/>
    <s v="ORD202500053"/>
    <s v="CUST8436"/>
    <x v="0"/>
    <n v="40"/>
    <x v="2"/>
    <s v="2025-11-18"/>
    <x v="6"/>
    <x v="2"/>
    <x v="5"/>
    <s v="SKU83660"/>
    <x v="5"/>
    <s v="M"/>
    <n v="4"/>
    <s v="INR"/>
    <n v="4243.46"/>
    <s v="Jaipur"/>
    <x v="2"/>
    <n v="302001"/>
    <s v="India"/>
    <s v="No"/>
  </r>
  <r>
    <n v="54"/>
    <s v="ORD202500054"/>
    <s v="CUST5501"/>
    <x v="1"/>
    <n v="39"/>
    <x v="2"/>
    <s v="2025-03-20"/>
    <x v="0"/>
    <x v="0"/>
    <x v="4"/>
    <s v="SKU94167"/>
    <x v="3"/>
    <s v="XL"/>
    <n v="4"/>
    <s v="INR"/>
    <n v="4845.71"/>
    <s v="Delhi"/>
    <x v="3"/>
    <n v="110001"/>
    <s v="India"/>
    <s v="Yes"/>
  </r>
  <r>
    <n v="55"/>
    <s v="ORD202500055"/>
    <s v="CUST8624"/>
    <x v="0"/>
    <n v="50"/>
    <x v="0"/>
    <s v="2025-09-04"/>
    <x v="7"/>
    <x v="0"/>
    <x v="0"/>
    <s v="SKU15811"/>
    <x v="3"/>
    <s v="XL"/>
    <n v="1"/>
    <s v="INR"/>
    <n v="937.05"/>
    <s v="Lucknow"/>
    <x v="4"/>
    <n v="226001"/>
    <s v="India"/>
    <s v="Yes"/>
  </r>
  <r>
    <n v="56"/>
    <s v="ORD202500056"/>
    <s v="CUST8145"/>
    <x v="1"/>
    <n v="28"/>
    <x v="1"/>
    <s v="2025-05-31"/>
    <x v="2"/>
    <x v="1"/>
    <x v="1"/>
    <s v="SKU95723"/>
    <x v="2"/>
    <s v="M"/>
    <n v="4"/>
    <s v="INR"/>
    <n v="3850.65"/>
    <s v="Jaipur"/>
    <x v="2"/>
    <n v="302001"/>
    <s v="India"/>
    <s v="Yes"/>
  </r>
  <r>
    <n v="57"/>
    <s v="ORD202500057"/>
    <s v="CUST2595"/>
    <x v="0"/>
    <n v="36"/>
    <x v="2"/>
    <s v="2025-08-20"/>
    <x v="5"/>
    <x v="1"/>
    <x v="3"/>
    <s v="SKU14658"/>
    <x v="2"/>
    <s v="XL"/>
    <n v="3"/>
    <s v="INR"/>
    <n v="2558.16"/>
    <s v="Lucknow"/>
    <x v="4"/>
    <n v="226001"/>
    <s v="India"/>
    <s v="Yes"/>
  </r>
  <r>
    <n v="58"/>
    <s v="ORD202500058"/>
    <s v="CUST7704"/>
    <x v="0"/>
    <n v="51"/>
    <x v="0"/>
    <s v="2025-08-20"/>
    <x v="5"/>
    <x v="1"/>
    <x v="3"/>
    <s v="SKU48606"/>
    <x v="3"/>
    <s v="L"/>
    <n v="4"/>
    <s v="INR"/>
    <n v="1781.26"/>
    <s v="Bengaluru"/>
    <x v="1"/>
    <n v="560001"/>
    <s v="India"/>
    <s v="No"/>
  </r>
  <r>
    <n v="59"/>
    <s v="ORD202500059"/>
    <s v="CUST8686"/>
    <x v="1"/>
    <n v="38"/>
    <x v="2"/>
    <s v="2025-11-10"/>
    <x v="6"/>
    <x v="3"/>
    <x v="2"/>
    <s v="SKU52755"/>
    <x v="1"/>
    <s v="M"/>
    <n v="3"/>
    <s v="INR"/>
    <n v="3366.09"/>
    <s v="Jaipur"/>
    <x v="2"/>
    <n v="302001"/>
    <s v="India"/>
    <s v="No"/>
  </r>
  <r>
    <n v="60"/>
    <s v="ORD202500060"/>
    <s v="CUST5003"/>
    <x v="1"/>
    <n v="40"/>
    <x v="2"/>
    <s v="2025-01-25"/>
    <x v="10"/>
    <x v="2"/>
    <x v="4"/>
    <s v="SKU80263"/>
    <x v="0"/>
    <s v="XL"/>
    <n v="3"/>
    <s v="INR"/>
    <n v="3458.71"/>
    <s v="Jaipur"/>
    <x v="2"/>
    <n v="302001"/>
    <s v="India"/>
    <s v="Yes"/>
  </r>
  <r>
    <n v="61"/>
    <s v="ORD202500061"/>
    <s v="CUST7704"/>
    <x v="1"/>
    <n v="34"/>
    <x v="2"/>
    <s v="2025-07-15"/>
    <x v="9"/>
    <x v="1"/>
    <x v="0"/>
    <s v="SKU68716"/>
    <x v="3"/>
    <s v="XL"/>
    <n v="3"/>
    <s v="INR"/>
    <n v="4449.0200000000004"/>
    <s v="Bengaluru"/>
    <x v="1"/>
    <n v="560001"/>
    <s v="India"/>
    <s v="Yes"/>
  </r>
  <r>
    <n v="62"/>
    <s v="ORD202500062"/>
    <s v="CUST8461"/>
    <x v="0"/>
    <n v="18"/>
    <x v="1"/>
    <s v="2025-02-05"/>
    <x v="8"/>
    <x v="1"/>
    <x v="1"/>
    <s v="SKU36641"/>
    <x v="0"/>
    <s v="S"/>
    <n v="4"/>
    <s v="INR"/>
    <n v="4396.92"/>
    <s v="Jaipur"/>
    <x v="2"/>
    <n v="302001"/>
    <s v="India"/>
    <s v="No"/>
  </r>
  <r>
    <n v="63"/>
    <s v="ORD202500063"/>
    <s v="CUST2017"/>
    <x v="0"/>
    <n v="35"/>
    <x v="2"/>
    <s v="2025-04-19"/>
    <x v="11"/>
    <x v="0"/>
    <x v="3"/>
    <s v="SKU62687"/>
    <x v="2"/>
    <s v="XL"/>
    <n v="3"/>
    <s v="INR"/>
    <n v="1809.01"/>
    <s v="Lucknow"/>
    <x v="4"/>
    <n v="226001"/>
    <s v="India"/>
    <s v="No"/>
  </r>
  <r>
    <n v="64"/>
    <s v="ORD202500064"/>
    <s v="CUST1146"/>
    <x v="1"/>
    <n v="41"/>
    <x v="2"/>
    <s v="2025-05-09"/>
    <x v="2"/>
    <x v="0"/>
    <x v="4"/>
    <s v="SKU92532"/>
    <x v="2"/>
    <s v="S"/>
    <n v="3"/>
    <s v="INR"/>
    <n v="2453.42"/>
    <s v="Delhi"/>
    <x v="3"/>
    <n v="110001"/>
    <s v="India"/>
    <s v="No"/>
  </r>
  <r>
    <n v="65"/>
    <s v="ORD202500065"/>
    <s v="CUST2518"/>
    <x v="1"/>
    <n v="27"/>
    <x v="1"/>
    <s v="2025-01-22"/>
    <x v="10"/>
    <x v="3"/>
    <x v="3"/>
    <s v="SKU97990"/>
    <x v="3"/>
    <s v="XL"/>
    <n v="4"/>
    <s v="INR"/>
    <n v="2901.29"/>
    <s v="Mumbai"/>
    <x v="0"/>
    <n v="400001"/>
    <s v="India"/>
    <s v="Yes"/>
  </r>
  <r>
    <n v="66"/>
    <s v="ORD202500066"/>
    <s v="CUST5579"/>
    <x v="0"/>
    <n v="29"/>
    <x v="1"/>
    <s v="2025-01-12"/>
    <x v="10"/>
    <x v="2"/>
    <x v="5"/>
    <s v="SKU89933"/>
    <x v="2"/>
    <s v="S"/>
    <n v="4"/>
    <s v="INR"/>
    <n v="3866.25"/>
    <s v="Lucknow"/>
    <x v="4"/>
    <n v="226001"/>
    <s v="India"/>
    <s v="No"/>
  </r>
  <r>
    <n v="67"/>
    <s v="ORD202500067"/>
    <s v="CUST9911"/>
    <x v="0"/>
    <n v="57"/>
    <x v="0"/>
    <s v="2025-06-26"/>
    <x v="3"/>
    <x v="2"/>
    <x v="1"/>
    <s v="SKU72562"/>
    <x v="0"/>
    <s v="XL"/>
    <n v="4"/>
    <s v="INR"/>
    <n v="1375.62"/>
    <s v="Lucknow"/>
    <x v="4"/>
    <n v="226001"/>
    <s v="India"/>
    <s v="Yes"/>
  </r>
  <r>
    <n v="68"/>
    <s v="ORD202500068"/>
    <s v="CUST8115"/>
    <x v="1"/>
    <n v="20"/>
    <x v="1"/>
    <s v="2025-07-14"/>
    <x v="9"/>
    <x v="2"/>
    <x v="4"/>
    <s v="SKU71454"/>
    <x v="0"/>
    <s v="L"/>
    <n v="3"/>
    <s v="INR"/>
    <n v="2620.48"/>
    <s v="Delhi"/>
    <x v="3"/>
    <n v="110001"/>
    <s v="India"/>
    <s v="No"/>
  </r>
  <r>
    <n v="69"/>
    <s v="ORD202500069"/>
    <s v="CUST9230"/>
    <x v="0"/>
    <n v="55"/>
    <x v="0"/>
    <s v="2025-10-31"/>
    <x v="4"/>
    <x v="2"/>
    <x v="5"/>
    <s v="SKU31041"/>
    <x v="2"/>
    <s v="L"/>
    <n v="2"/>
    <s v="INR"/>
    <n v="4360.13"/>
    <s v="Jaipur"/>
    <x v="2"/>
    <n v="302001"/>
    <s v="India"/>
    <s v="No"/>
  </r>
  <r>
    <n v="70"/>
    <s v="ORD202500070"/>
    <s v="CUST4423"/>
    <x v="0"/>
    <n v="56"/>
    <x v="0"/>
    <s v="2025-01-19"/>
    <x v="10"/>
    <x v="2"/>
    <x v="3"/>
    <s v="SKU64637"/>
    <x v="1"/>
    <s v="S"/>
    <n v="4"/>
    <s v="INR"/>
    <n v="3371.02"/>
    <s v="Bengaluru"/>
    <x v="1"/>
    <n v="560001"/>
    <s v="India"/>
    <s v="Yes"/>
  </r>
  <r>
    <n v="71"/>
    <s v="ORD202500071"/>
    <s v="CUST9333"/>
    <x v="0"/>
    <n v="35"/>
    <x v="2"/>
    <s v="2025-12-08"/>
    <x v="1"/>
    <x v="2"/>
    <x v="5"/>
    <s v="SKU69457"/>
    <x v="3"/>
    <s v="L"/>
    <n v="1"/>
    <s v="INR"/>
    <n v="1014.5"/>
    <s v="Bengaluru"/>
    <x v="1"/>
    <n v="560001"/>
    <s v="India"/>
    <s v="No"/>
  </r>
  <r>
    <n v="72"/>
    <s v="ORD202500072"/>
    <s v="CUST9368"/>
    <x v="0"/>
    <n v="46"/>
    <x v="2"/>
    <s v="2025-09-10"/>
    <x v="7"/>
    <x v="2"/>
    <x v="2"/>
    <s v="SKU93172"/>
    <x v="0"/>
    <s v="L"/>
    <n v="5"/>
    <s v="INR"/>
    <n v="3273.12"/>
    <s v="Jaipur"/>
    <x v="2"/>
    <n v="302001"/>
    <s v="India"/>
    <s v="Yes"/>
  </r>
  <r>
    <n v="73"/>
    <s v="ORD202500073"/>
    <s v="CUST1436"/>
    <x v="1"/>
    <n v="43"/>
    <x v="2"/>
    <s v="2025-03-31"/>
    <x v="0"/>
    <x v="2"/>
    <x v="1"/>
    <s v="SKU56644"/>
    <x v="4"/>
    <s v="L"/>
    <n v="3"/>
    <s v="INR"/>
    <n v="2563.23"/>
    <s v="Lucknow"/>
    <x v="4"/>
    <n v="226001"/>
    <s v="India"/>
    <s v="Yes"/>
  </r>
  <r>
    <n v="74"/>
    <s v="ORD202500074"/>
    <s v="CUST7960"/>
    <x v="0"/>
    <n v="23"/>
    <x v="1"/>
    <s v="2025-05-17"/>
    <x v="2"/>
    <x v="2"/>
    <x v="3"/>
    <s v="SKU47993"/>
    <x v="1"/>
    <s v="XL"/>
    <n v="4"/>
    <s v="INR"/>
    <n v="4823.82"/>
    <s v="Lucknow"/>
    <x v="4"/>
    <n v="226001"/>
    <s v="India"/>
    <s v="Yes"/>
  </r>
  <r>
    <n v="75"/>
    <s v="ORD202500075"/>
    <s v="CUST3668"/>
    <x v="0"/>
    <n v="40"/>
    <x v="2"/>
    <s v="2025-08-05"/>
    <x v="5"/>
    <x v="2"/>
    <x v="3"/>
    <s v="SKU15840"/>
    <x v="4"/>
    <s v="S"/>
    <n v="5"/>
    <s v="INR"/>
    <n v="1918.06"/>
    <s v="Lucknow"/>
    <x v="4"/>
    <n v="226001"/>
    <s v="India"/>
    <s v="Yes"/>
  </r>
  <r>
    <n v="76"/>
    <s v="ORD202500076"/>
    <s v="CUST8933"/>
    <x v="1"/>
    <n v="59"/>
    <x v="0"/>
    <s v="2025-05-24"/>
    <x v="2"/>
    <x v="2"/>
    <x v="3"/>
    <s v="SKU78483"/>
    <x v="2"/>
    <s v="S"/>
    <n v="4"/>
    <s v="INR"/>
    <n v="4433.5600000000004"/>
    <s v="Bengaluru"/>
    <x v="1"/>
    <n v="560001"/>
    <s v="India"/>
    <s v="Yes"/>
  </r>
  <r>
    <n v="77"/>
    <s v="ORD202500077"/>
    <s v="CUST4945"/>
    <x v="1"/>
    <n v="49"/>
    <x v="2"/>
    <s v="2025-05-29"/>
    <x v="2"/>
    <x v="2"/>
    <x v="0"/>
    <s v="SKU21715"/>
    <x v="5"/>
    <s v="M"/>
    <n v="2"/>
    <s v="INR"/>
    <n v="2787.75"/>
    <s v="Jaipur"/>
    <x v="2"/>
    <n v="302001"/>
    <s v="India"/>
    <s v="No"/>
  </r>
  <r>
    <n v="78"/>
    <s v="ORD202500078"/>
    <s v="CUST1888"/>
    <x v="1"/>
    <n v="38"/>
    <x v="2"/>
    <s v="2025-08-02"/>
    <x v="5"/>
    <x v="2"/>
    <x v="1"/>
    <s v="SKU37468"/>
    <x v="1"/>
    <s v="XL"/>
    <n v="2"/>
    <s v="INR"/>
    <n v="4738.92"/>
    <s v="Bengaluru"/>
    <x v="1"/>
    <n v="560001"/>
    <s v="India"/>
    <s v="Yes"/>
  </r>
  <r>
    <n v="79"/>
    <s v="ORD202500079"/>
    <s v="CUST1688"/>
    <x v="0"/>
    <n v="30"/>
    <x v="2"/>
    <s v="2025-11-13"/>
    <x v="6"/>
    <x v="2"/>
    <x v="4"/>
    <s v="SKU55005"/>
    <x v="2"/>
    <s v="XL"/>
    <n v="4"/>
    <s v="INR"/>
    <n v="3513.63"/>
    <s v="Jaipur"/>
    <x v="2"/>
    <n v="302001"/>
    <s v="India"/>
    <s v="Yes"/>
  </r>
  <r>
    <n v="80"/>
    <s v="ORD202500080"/>
    <s v="CUST8565"/>
    <x v="0"/>
    <n v="52"/>
    <x v="0"/>
    <s v="2025-06-25"/>
    <x v="3"/>
    <x v="2"/>
    <x v="4"/>
    <s v="SKU45658"/>
    <x v="0"/>
    <s v="S"/>
    <n v="5"/>
    <s v="INR"/>
    <n v="2969.93"/>
    <s v="Jaipur"/>
    <x v="2"/>
    <n v="302001"/>
    <s v="India"/>
    <s v="Yes"/>
  </r>
  <r>
    <n v="81"/>
    <s v="ORD202500081"/>
    <s v="CUST9115"/>
    <x v="0"/>
    <n v="29"/>
    <x v="1"/>
    <s v="2025-07-03"/>
    <x v="9"/>
    <x v="2"/>
    <x v="5"/>
    <s v="SKU66829"/>
    <x v="0"/>
    <s v="XL"/>
    <n v="4"/>
    <s v="INR"/>
    <n v="1460.67"/>
    <s v="Mumbai"/>
    <x v="0"/>
    <n v="400001"/>
    <s v="India"/>
    <s v="No"/>
  </r>
  <r>
    <n v="82"/>
    <s v="ORD202500082"/>
    <s v="CUST3863"/>
    <x v="0"/>
    <n v="56"/>
    <x v="0"/>
    <s v="2025-12-29"/>
    <x v="1"/>
    <x v="2"/>
    <x v="5"/>
    <s v="SKU24016"/>
    <x v="1"/>
    <s v="L"/>
    <n v="4"/>
    <s v="INR"/>
    <n v="1337.6"/>
    <s v="Delhi"/>
    <x v="3"/>
    <n v="110001"/>
    <s v="India"/>
    <s v="Yes"/>
  </r>
  <r>
    <n v="83"/>
    <s v="ORD202500083"/>
    <s v="CUST8982"/>
    <x v="1"/>
    <n v="20"/>
    <x v="1"/>
    <s v="2025-07-17"/>
    <x v="9"/>
    <x v="2"/>
    <x v="5"/>
    <s v="SKU60914"/>
    <x v="2"/>
    <s v="L"/>
    <n v="3"/>
    <s v="INR"/>
    <n v="2001.17"/>
    <s v="Lucknow"/>
    <x v="4"/>
    <n v="226001"/>
    <s v="India"/>
    <s v="No"/>
  </r>
  <r>
    <n v="84"/>
    <s v="ORD202500084"/>
    <s v="CUST1979"/>
    <x v="0"/>
    <n v="43"/>
    <x v="2"/>
    <s v="2025-10-19"/>
    <x v="4"/>
    <x v="2"/>
    <x v="0"/>
    <s v="SKU42958"/>
    <x v="4"/>
    <s v="XL"/>
    <n v="5"/>
    <s v="INR"/>
    <n v="2195.69"/>
    <s v="Lucknow"/>
    <x v="4"/>
    <n v="226001"/>
    <s v="India"/>
    <s v="Yes"/>
  </r>
  <r>
    <n v="85"/>
    <s v="ORD202500085"/>
    <s v="CUST1442"/>
    <x v="0"/>
    <n v="51"/>
    <x v="0"/>
    <s v="2025-09-18"/>
    <x v="7"/>
    <x v="2"/>
    <x v="2"/>
    <s v="SKU31844"/>
    <x v="1"/>
    <s v="XL"/>
    <n v="4"/>
    <s v="INR"/>
    <n v="4308.57"/>
    <s v="Jaipur"/>
    <x v="2"/>
    <n v="302001"/>
    <s v="India"/>
    <s v="Yes"/>
  </r>
  <r>
    <n v="86"/>
    <s v="ORD202500086"/>
    <s v="CUST7960"/>
    <x v="1"/>
    <n v="20"/>
    <x v="1"/>
    <s v="2025-12-29"/>
    <x v="1"/>
    <x v="2"/>
    <x v="2"/>
    <s v="SKU42453"/>
    <x v="0"/>
    <s v="L"/>
    <n v="4"/>
    <s v="INR"/>
    <n v="1542.23"/>
    <s v="Delhi"/>
    <x v="3"/>
    <n v="110001"/>
    <s v="India"/>
    <s v="No"/>
  </r>
  <r>
    <n v="87"/>
    <s v="ORD202500087"/>
    <s v="CUST2954"/>
    <x v="0"/>
    <n v="60"/>
    <x v="0"/>
    <s v="2025-05-06"/>
    <x v="2"/>
    <x v="2"/>
    <x v="4"/>
    <s v="SKU85073"/>
    <x v="1"/>
    <s v="L"/>
    <n v="4"/>
    <s v="INR"/>
    <n v="1640.73"/>
    <s v="Jaipur"/>
    <x v="3"/>
    <n v="302001"/>
    <s v="India"/>
    <s v="No"/>
  </r>
  <r>
    <n v="88"/>
    <s v="ORD202500088"/>
    <s v="CUST1051"/>
    <x v="1"/>
    <n v="35"/>
    <x v="2"/>
    <s v="2025-08-29"/>
    <x v="5"/>
    <x v="2"/>
    <x v="4"/>
    <s v="SKU79502"/>
    <x v="3"/>
    <s v="S"/>
    <n v="5"/>
    <s v="INR"/>
    <n v="2244.0100000000002"/>
    <s v="Bengaluru"/>
    <x v="3"/>
    <n v="560001"/>
    <s v="India"/>
    <s v="Yes"/>
  </r>
  <r>
    <n v="89"/>
    <s v="ORD202500089"/>
    <s v="CUST6871"/>
    <x v="0"/>
    <n v="37"/>
    <x v="2"/>
    <s v="2025-05-10"/>
    <x v="2"/>
    <x v="2"/>
    <x v="3"/>
    <s v="SKU23464"/>
    <x v="1"/>
    <s v="M"/>
    <n v="5"/>
    <s v="INR"/>
    <n v="1174.43"/>
    <s v="Bengaluru"/>
    <x v="3"/>
    <n v="560001"/>
    <s v="India"/>
    <s v="Yes"/>
  </r>
  <r>
    <n v="90"/>
    <s v="ORD202500090"/>
    <s v="CUST8539"/>
    <x v="1"/>
    <n v="33"/>
    <x v="2"/>
    <s v="2025-08-20"/>
    <x v="5"/>
    <x v="2"/>
    <x v="5"/>
    <s v="SKU38932"/>
    <x v="4"/>
    <s v="L"/>
    <n v="3"/>
    <s v="INR"/>
    <n v="4761.1099999999997"/>
    <s v="Lucknow"/>
    <x v="3"/>
    <n v="226001"/>
    <s v="India"/>
    <s v="Yes"/>
  </r>
  <r>
    <n v="91"/>
    <s v="ORD202500091"/>
    <s v="CUST7089"/>
    <x v="0"/>
    <n v="26"/>
    <x v="1"/>
    <s v="2025-04-23"/>
    <x v="11"/>
    <x v="2"/>
    <x v="4"/>
    <s v="SKU16094"/>
    <x v="0"/>
    <s v="XL"/>
    <n v="4"/>
    <s v="INR"/>
    <n v="3425.01"/>
    <s v="Jaipur"/>
    <x v="3"/>
    <n v="302001"/>
    <s v="India"/>
    <s v="Yes"/>
  </r>
  <r>
    <n v="92"/>
    <s v="ORD202500092"/>
    <s v="CUST4790"/>
    <x v="0"/>
    <n v="44"/>
    <x v="2"/>
    <s v="2025-06-11"/>
    <x v="3"/>
    <x v="2"/>
    <x v="4"/>
    <s v="SKU47486"/>
    <x v="5"/>
    <s v="S"/>
    <n v="4"/>
    <s v="INR"/>
    <n v="3565.93"/>
    <s v="Lucknow"/>
    <x v="3"/>
    <n v="226001"/>
    <s v="India"/>
    <s v="Yes"/>
  </r>
  <r>
    <n v="93"/>
    <s v="ORD202500093"/>
    <s v="CUST8826"/>
    <x v="0"/>
    <n v="20"/>
    <x v="1"/>
    <s v="2025-08-26"/>
    <x v="5"/>
    <x v="2"/>
    <x v="2"/>
    <s v="SKU23376"/>
    <x v="4"/>
    <s v="M"/>
    <n v="4"/>
    <s v="INR"/>
    <n v="2333.0100000000002"/>
    <s v="Lucknow"/>
    <x v="3"/>
    <n v="226001"/>
    <s v="India"/>
    <s v="No"/>
  </r>
  <r>
    <n v="94"/>
    <s v="ORD202500094"/>
    <s v="CUST2345"/>
    <x v="0"/>
    <n v="24"/>
    <x v="1"/>
    <s v="2025-02-03"/>
    <x v="8"/>
    <x v="2"/>
    <x v="4"/>
    <s v="SKU88012"/>
    <x v="4"/>
    <s v="M"/>
    <n v="1"/>
    <s v="INR"/>
    <n v="565.9"/>
    <s v="Lucknow"/>
    <x v="3"/>
    <n v="226001"/>
    <s v="India"/>
    <s v="Yes"/>
  </r>
  <r>
    <n v="95"/>
    <s v="ORD202500095"/>
    <s v="CUST5735"/>
    <x v="0"/>
    <n v="41"/>
    <x v="2"/>
    <s v="2025-03-25"/>
    <x v="0"/>
    <x v="2"/>
    <x v="0"/>
    <s v="SKU33548"/>
    <x v="5"/>
    <s v="L"/>
    <n v="1"/>
    <s v="INR"/>
    <n v="1236.1099999999999"/>
    <s v="Lucknow"/>
    <x v="3"/>
    <n v="226001"/>
    <s v="India"/>
    <s v="No"/>
  </r>
  <r>
    <n v="96"/>
    <s v="ORD202500096"/>
    <s v="CUST4050"/>
    <x v="1"/>
    <n v="39"/>
    <x v="2"/>
    <s v="2025-04-01"/>
    <x v="11"/>
    <x v="2"/>
    <x v="5"/>
    <s v="SKU29723"/>
    <x v="0"/>
    <s v="S"/>
    <n v="1"/>
    <s v="INR"/>
    <n v="3120.26"/>
    <s v="Mumbai"/>
    <x v="3"/>
    <n v="400001"/>
    <s v="India"/>
    <s v="Yes"/>
  </r>
  <r>
    <n v="97"/>
    <s v="ORD202500097"/>
    <s v="CUST9360"/>
    <x v="1"/>
    <n v="46"/>
    <x v="2"/>
    <s v="2025-08-15"/>
    <x v="5"/>
    <x v="2"/>
    <x v="5"/>
    <s v="SKU53825"/>
    <x v="0"/>
    <s v="S"/>
    <n v="1"/>
    <s v="INR"/>
    <n v="2116.98"/>
    <s v="Lucknow"/>
    <x v="3"/>
    <n v="226001"/>
    <s v="India"/>
    <s v="No"/>
  </r>
  <r>
    <n v="98"/>
    <s v="ORD202500098"/>
    <s v="CUST3596"/>
    <x v="0"/>
    <n v="44"/>
    <x v="2"/>
    <s v="2025-06-10"/>
    <x v="3"/>
    <x v="2"/>
    <x v="2"/>
    <s v="SKU66614"/>
    <x v="4"/>
    <s v="S"/>
    <n v="5"/>
    <s v="INR"/>
    <n v="4655.4799999999996"/>
    <s v="Delhi"/>
    <x v="3"/>
    <n v="110001"/>
    <s v="India"/>
    <s v="Yes"/>
  </r>
  <r>
    <n v="99"/>
    <s v="ORD202500099"/>
    <s v="CUST4759"/>
    <x v="1"/>
    <n v="44"/>
    <x v="2"/>
    <s v="2025-06-13"/>
    <x v="3"/>
    <x v="2"/>
    <x v="1"/>
    <s v="SKU34399"/>
    <x v="3"/>
    <s v="L"/>
    <n v="3"/>
    <s v="INR"/>
    <n v="3642.93"/>
    <s v="Lucknow"/>
    <x v="4"/>
    <n v="226001"/>
    <s v="India"/>
    <s v="No"/>
  </r>
  <r>
    <n v="100"/>
    <s v="ORD202500100"/>
    <s v="CUST5984"/>
    <x v="0"/>
    <n v="37"/>
    <x v="2"/>
    <s v="2025-11-01"/>
    <x v="6"/>
    <x v="2"/>
    <x v="1"/>
    <s v="SKU36050"/>
    <x v="1"/>
    <s v="M"/>
    <n v="5"/>
    <s v="INR"/>
    <n v="4695.95"/>
    <s v="Lucknow"/>
    <x v="4"/>
    <n v="226001"/>
    <s v="India"/>
    <s v="Yes"/>
  </r>
  <r>
    <n v="101"/>
    <s v="ORD202500101"/>
    <s v="CUST6213"/>
    <x v="0"/>
    <n v="30"/>
    <x v="2"/>
    <s v="2025-03-23"/>
    <x v="0"/>
    <x v="2"/>
    <x v="0"/>
    <s v="SKU60296"/>
    <x v="0"/>
    <s v="XL"/>
    <n v="3"/>
    <s v="INR"/>
    <n v="3064.77"/>
    <s v="Mumbai"/>
    <x v="0"/>
    <n v="400001"/>
    <s v="India"/>
    <s v="Yes"/>
  </r>
  <r>
    <n v="102"/>
    <s v="ORD202500102"/>
    <s v="CUST9413"/>
    <x v="1"/>
    <n v="60"/>
    <x v="0"/>
    <s v="2025-04-20"/>
    <x v="11"/>
    <x v="2"/>
    <x v="2"/>
    <s v="SKU69390"/>
    <x v="5"/>
    <s v="L"/>
    <n v="3"/>
    <s v="INR"/>
    <n v="1952.74"/>
    <s v="Bengaluru"/>
    <x v="1"/>
    <n v="560001"/>
    <s v="India"/>
    <s v="Yes"/>
  </r>
  <r>
    <n v="103"/>
    <s v="ORD202500103"/>
    <s v="CUST7988"/>
    <x v="1"/>
    <n v="27"/>
    <x v="1"/>
    <s v="2025-09-07"/>
    <x v="7"/>
    <x v="2"/>
    <x v="3"/>
    <s v="SKU39827"/>
    <x v="5"/>
    <s v="XL"/>
    <n v="4"/>
    <s v="INR"/>
    <n v="4513.07"/>
    <s v="Jaipur"/>
    <x v="2"/>
    <n v="302001"/>
    <s v="India"/>
    <s v="No"/>
  </r>
  <r>
    <n v="104"/>
    <s v="ORD202500104"/>
    <s v="CUST3179"/>
    <x v="0"/>
    <n v="53"/>
    <x v="0"/>
    <s v="2025-05-10"/>
    <x v="2"/>
    <x v="2"/>
    <x v="1"/>
    <s v="SKU10862"/>
    <x v="1"/>
    <s v="M"/>
    <n v="1"/>
    <s v="INR"/>
    <n v="2488.66"/>
    <s v="Delhi"/>
    <x v="3"/>
    <n v="110001"/>
    <s v="India"/>
    <s v="Yes"/>
  </r>
  <r>
    <n v="105"/>
    <s v="ORD202500105"/>
    <s v="CUST7606"/>
    <x v="1"/>
    <n v="44"/>
    <x v="2"/>
    <s v="2025-05-15"/>
    <x v="2"/>
    <x v="2"/>
    <x v="1"/>
    <s v="SKU53769"/>
    <x v="0"/>
    <s v="L"/>
    <n v="5"/>
    <s v="INR"/>
    <n v="4320.93"/>
    <s v="Delhi"/>
    <x v="3"/>
    <n v="110001"/>
    <s v="India"/>
    <s v="No"/>
  </r>
  <r>
    <n v="106"/>
    <s v="ORD202500106"/>
    <s v="CUST7894"/>
    <x v="1"/>
    <n v="22"/>
    <x v="1"/>
    <s v="2025-08-04"/>
    <x v="5"/>
    <x v="2"/>
    <x v="1"/>
    <s v="SKU53891"/>
    <x v="1"/>
    <s v="S"/>
    <n v="1"/>
    <s v="INR"/>
    <n v="3596.54"/>
    <s v="Lucknow"/>
    <x v="3"/>
    <n v="226001"/>
    <s v="India"/>
    <s v="Yes"/>
  </r>
  <r>
    <n v="107"/>
    <s v="ORD202500107"/>
    <s v="CUST5847"/>
    <x v="1"/>
    <n v="58"/>
    <x v="0"/>
    <s v="2025-06-03"/>
    <x v="3"/>
    <x v="2"/>
    <x v="1"/>
    <s v="SKU94399"/>
    <x v="2"/>
    <s v="S"/>
    <n v="4"/>
    <s v="INR"/>
    <n v="649.27"/>
    <s v="Lucknow"/>
    <x v="3"/>
    <n v="226001"/>
    <s v="India"/>
    <s v="No"/>
  </r>
  <r>
    <n v="108"/>
    <s v="ORD202500108"/>
    <s v="CUST9778"/>
    <x v="0"/>
    <n v="55"/>
    <x v="0"/>
    <s v="2025-10-28"/>
    <x v="4"/>
    <x v="2"/>
    <x v="1"/>
    <s v="SKU52141"/>
    <x v="0"/>
    <s v="S"/>
    <n v="3"/>
    <s v="INR"/>
    <n v="2381.87"/>
    <s v="Lucknow"/>
    <x v="3"/>
    <n v="226001"/>
    <s v="India"/>
    <s v="No"/>
  </r>
  <r>
    <n v="109"/>
    <s v="ORD202500109"/>
    <s v="CUST8747"/>
    <x v="1"/>
    <n v="42"/>
    <x v="2"/>
    <s v="2025-06-18"/>
    <x v="3"/>
    <x v="2"/>
    <x v="1"/>
    <s v="SKU54017"/>
    <x v="0"/>
    <s v="L"/>
    <n v="3"/>
    <s v="INR"/>
    <n v="916.84"/>
    <s v="Delhi"/>
    <x v="3"/>
    <n v="110001"/>
    <s v="India"/>
    <s v="No"/>
  </r>
  <r>
    <n v="110"/>
    <s v="ORD202500110"/>
    <s v="CUST9564"/>
    <x v="1"/>
    <n v="57"/>
    <x v="0"/>
    <s v="2025-01-10"/>
    <x v="10"/>
    <x v="2"/>
    <x v="1"/>
    <s v="SKU64712"/>
    <x v="2"/>
    <s v="L"/>
    <n v="4"/>
    <s v="INR"/>
    <n v="2548.6999999999998"/>
    <s v="Jaipur"/>
    <x v="2"/>
    <n v="302001"/>
    <s v="India"/>
    <s v="Yes"/>
  </r>
  <r>
    <n v="111"/>
    <s v="ORD202500111"/>
    <s v="CUST3462"/>
    <x v="1"/>
    <n v="50"/>
    <x v="0"/>
    <s v="2025-03-06"/>
    <x v="0"/>
    <x v="2"/>
    <x v="1"/>
    <s v="SKU17153"/>
    <x v="0"/>
    <s v="M"/>
    <n v="3"/>
    <s v="INR"/>
    <n v="937.83"/>
    <s v="Delhi"/>
    <x v="3"/>
    <n v="110001"/>
    <s v="India"/>
    <s v="No"/>
  </r>
  <r>
    <n v="112"/>
    <s v="ORD202500112"/>
    <s v="CUST3622"/>
    <x v="0"/>
    <n v="28"/>
    <x v="1"/>
    <s v="2025-06-20"/>
    <x v="3"/>
    <x v="2"/>
    <x v="1"/>
    <s v="SKU58528"/>
    <x v="2"/>
    <s v="S"/>
    <n v="1"/>
    <s v="INR"/>
    <n v="1308.6199999999999"/>
    <s v="Delhi"/>
    <x v="3"/>
    <n v="110001"/>
    <s v="India"/>
    <s v="No"/>
  </r>
  <r>
    <n v="113"/>
    <s v="ORD202500113"/>
    <s v="CUST9505"/>
    <x v="1"/>
    <n v="33"/>
    <x v="2"/>
    <s v="2025-04-08"/>
    <x v="11"/>
    <x v="2"/>
    <x v="1"/>
    <s v="SKU42175"/>
    <x v="2"/>
    <s v="XL"/>
    <n v="4"/>
    <s v="INR"/>
    <n v="3277.44"/>
    <s v="Bengaluru"/>
    <x v="1"/>
    <n v="560001"/>
    <s v="India"/>
    <s v="No"/>
  </r>
  <r>
    <n v="114"/>
    <s v="ORD202500114"/>
    <s v="CUST8402"/>
    <x v="1"/>
    <n v="32"/>
    <x v="2"/>
    <s v="2025-01-07"/>
    <x v="10"/>
    <x v="2"/>
    <x v="1"/>
    <s v="SKU24491"/>
    <x v="3"/>
    <s v="L"/>
    <n v="4"/>
    <s v="INR"/>
    <n v="2952.27"/>
    <s v="Jaipur"/>
    <x v="2"/>
    <n v="302001"/>
    <s v="India"/>
    <s v="Yes"/>
  </r>
  <r>
    <n v="115"/>
    <s v="ORD202500115"/>
    <s v="CUST3422"/>
    <x v="0"/>
    <n v="18"/>
    <x v="1"/>
    <s v="2025-11-23"/>
    <x v="6"/>
    <x v="2"/>
    <x v="1"/>
    <s v="SKU74897"/>
    <x v="3"/>
    <s v="L"/>
    <n v="3"/>
    <s v="INR"/>
    <n v="408.43"/>
    <s v="Mumbai"/>
    <x v="2"/>
    <n v="400001"/>
    <s v="India"/>
    <s v="No"/>
  </r>
  <r>
    <n v="116"/>
    <s v="ORD202500116"/>
    <s v="CUST9080"/>
    <x v="1"/>
    <n v="39"/>
    <x v="2"/>
    <s v="2025-10-30"/>
    <x v="4"/>
    <x v="2"/>
    <x v="1"/>
    <s v="SKU72386"/>
    <x v="5"/>
    <s v="XL"/>
    <n v="2"/>
    <s v="INR"/>
    <n v="2153.79"/>
    <s v="Bengaluru"/>
    <x v="2"/>
    <n v="560001"/>
    <s v="India"/>
    <s v="No"/>
  </r>
  <r>
    <n v="117"/>
    <s v="ORD202500117"/>
    <s v="CUST3452"/>
    <x v="0"/>
    <n v="36"/>
    <x v="2"/>
    <s v="2025-12-19"/>
    <x v="1"/>
    <x v="2"/>
    <x v="1"/>
    <s v="SKU27979"/>
    <x v="1"/>
    <s v="M"/>
    <n v="2"/>
    <s v="INR"/>
    <n v="1416.91"/>
    <s v="Jaipur"/>
    <x v="2"/>
    <n v="302001"/>
    <s v="India"/>
    <s v="No"/>
  </r>
  <r>
    <n v="118"/>
    <s v="ORD202500118"/>
    <s v="CUST9921"/>
    <x v="0"/>
    <n v="20"/>
    <x v="1"/>
    <s v="2025-12-28"/>
    <x v="1"/>
    <x v="2"/>
    <x v="1"/>
    <s v="SKU12364"/>
    <x v="4"/>
    <s v="L"/>
    <n v="3"/>
    <s v="INR"/>
    <n v="1973.23"/>
    <s v="Bengaluru"/>
    <x v="2"/>
    <n v="560001"/>
    <s v="India"/>
    <s v="No"/>
  </r>
  <r>
    <n v="119"/>
    <s v="ORD202500119"/>
    <s v="CUST2443"/>
    <x v="0"/>
    <n v="47"/>
    <x v="2"/>
    <s v="2025-05-20"/>
    <x v="2"/>
    <x v="2"/>
    <x v="1"/>
    <s v="SKU87914"/>
    <x v="5"/>
    <s v="S"/>
    <n v="5"/>
    <s v="INR"/>
    <n v="1677.23"/>
    <s v="Bengaluru"/>
    <x v="2"/>
    <n v="560001"/>
    <s v="India"/>
    <s v="No"/>
  </r>
  <r>
    <n v="120"/>
    <s v="ORD202500120"/>
    <s v="CUST6876"/>
    <x v="0"/>
    <n v="31"/>
    <x v="2"/>
    <s v="2025-06-24"/>
    <x v="3"/>
    <x v="2"/>
    <x v="1"/>
    <s v="SKU98746"/>
    <x v="2"/>
    <s v="M"/>
    <n v="1"/>
    <s v="INR"/>
    <n v="3552.46"/>
    <s v="Mumbai"/>
    <x v="2"/>
    <n v="400001"/>
    <s v="India"/>
    <s v="No"/>
  </r>
  <r>
    <n v="121"/>
    <s v="ORD202500121"/>
    <s v="CUST8391"/>
    <x v="1"/>
    <n v="55"/>
    <x v="0"/>
    <s v="2025-05-19"/>
    <x v="2"/>
    <x v="2"/>
    <x v="1"/>
    <s v="SKU40813"/>
    <x v="3"/>
    <s v="S"/>
    <n v="3"/>
    <s v="INR"/>
    <n v="1040.53"/>
    <s v="Lucknow"/>
    <x v="2"/>
    <n v="226001"/>
    <s v="India"/>
    <s v="Yes"/>
  </r>
  <r>
    <n v="122"/>
    <s v="ORD202500122"/>
    <s v="CUST4233"/>
    <x v="1"/>
    <n v="51"/>
    <x v="0"/>
    <s v="2025-10-21"/>
    <x v="4"/>
    <x v="2"/>
    <x v="1"/>
    <s v="SKU72557"/>
    <x v="0"/>
    <s v="M"/>
    <n v="5"/>
    <s v="INR"/>
    <n v="1375.52"/>
    <s v="Delhi"/>
    <x v="3"/>
    <n v="110001"/>
    <s v="India"/>
    <s v="No"/>
  </r>
  <r>
    <n v="123"/>
    <s v="ORD202500123"/>
    <s v="CUST5883"/>
    <x v="0"/>
    <n v="49"/>
    <x v="2"/>
    <s v="2025-11-07"/>
    <x v="6"/>
    <x v="2"/>
    <x v="1"/>
    <s v="SKU11999"/>
    <x v="3"/>
    <s v="M"/>
    <n v="5"/>
    <s v="INR"/>
    <n v="2294.5700000000002"/>
    <s v="Delhi"/>
    <x v="3"/>
    <n v="110001"/>
    <s v="India"/>
    <s v="Yes"/>
  </r>
  <r>
    <n v="124"/>
    <s v="ORD202500124"/>
    <s v="CUST1013"/>
    <x v="0"/>
    <n v="53"/>
    <x v="0"/>
    <s v="2025-09-30"/>
    <x v="7"/>
    <x v="2"/>
    <x v="1"/>
    <s v="SKU32145"/>
    <x v="2"/>
    <s v="XL"/>
    <n v="3"/>
    <s v="INR"/>
    <n v="1915.9"/>
    <s v="Bengaluru"/>
    <x v="3"/>
    <n v="560001"/>
    <s v="India"/>
    <s v="Yes"/>
  </r>
  <r>
    <n v="125"/>
    <s v="ORD202500125"/>
    <s v="CUST5992"/>
    <x v="1"/>
    <n v="55"/>
    <x v="0"/>
    <s v="2025-03-18"/>
    <x v="0"/>
    <x v="2"/>
    <x v="1"/>
    <s v="SKU51970"/>
    <x v="5"/>
    <s v="M"/>
    <n v="2"/>
    <s v="INR"/>
    <n v="4422.1000000000004"/>
    <s v="Lucknow"/>
    <x v="3"/>
    <n v="226001"/>
    <s v="India"/>
    <s v="No"/>
  </r>
  <r>
    <n v="126"/>
    <s v="ORD202500126"/>
    <s v="CUST7245"/>
    <x v="1"/>
    <n v="43"/>
    <x v="2"/>
    <s v="2025-02-27"/>
    <x v="8"/>
    <x v="2"/>
    <x v="1"/>
    <s v="SKU52112"/>
    <x v="3"/>
    <s v="L"/>
    <n v="1"/>
    <s v="INR"/>
    <n v="3651.43"/>
    <s v="Lucknow"/>
    <x v="3"/>
    <n v="226001"/>
    <s v="India"/>
    <s v="Yes"/>
  </r>
  <r>
    <n v="127"/>
    <s v="ORD202500127"/>
    <s v="CUST3743"/>
    <x v="1"/>
    <n v="40"/>
    <x v="2"/>
    <s v="2025-08-28"/>
    <x v="5"/>
    <x v="2"/>
    <x v="1"/>
    <s v="SKU65582"/>
    <x v="0"/>
    <s v="M"/>
    <n v="5"/>
    <s v="INR"/>
    <n v="4622.6000000000004"/>
    <s v="Lucknow"/>
    <x v="3"/>
    <n v="226001"/>
    <s v="India"/>
    <s v="Yes"/>
  </r>
  <r>
    <n v="128"/>
    <s v="ORD202500128"/>
    <s v="CUST9903"/>
    <x v="1"/>
    <n v="23"/>
    <x v="1"/>
    <s v="2025-12-15"/>
    <x v="1"/>
    <x v="2"/>
    <x v="1"/>
    <s v="SKU15861"/>
    <x v="4"/>
    <s v="S"/>
    <n v="2"/>
    <s v="INR"/>
    <n v="1240.94"/>
    <s v="Lucknow"/>
    <x v="3"/>
    <n v="226001"/>
    <s v="India"/>
    <s v="Yes"/>
  </r>
  <r>
    <n v="129"/>
    <s v="ORD202500129"/>
    <s v="CUST9184"/>
    <x v="1"/>
    <n v="44"/>
    <x v="2"/>
    <s v="2025-05-14"/>
    <x v="2"/>
    <x v="2"/>
    <x v="1"/>
    <s v="SKU61966"/>
    <x v="0"/>
    <s v="L"/>
    <n v="5"/>
    <s v="INR"/>
    <n v="3818.29"/>
    <s v="Lucknow"/>
    <x v="3"/>
    <n v="226001"/>
    <s v="India"/>
    <s v="Yes"/>
  </r>
  <r>
    <n v="130"/>
    <s v="ORD202500130"/>
    <s v="CUST1711"/>
    <x v="0"/>
    <n v="54"/>
    <x v="0"/>
    <s v="2025-01-13"/>
    <x v="10"/>
    <x v="2"/>
    <x v="1"/>
    <s v="SKU34967"/>
    <x v="1"/>
    <s v="S"/>
    <n v="5"/>
    <s v="INR"/>
    <n v="3153"/>
    <s v="Mumbai"/>
    <x v="3"/>
    <n v="400001"/>
    <s v="India"/>
    <s v="Yes"/>
  </r>
  <r>
    <n v="131"/>
    <s v="ORD202500131"/>
    <s v="CUST7243"/>
    <x v="0"/>
    <n v="29"/>
    <x v="1"/>
    <s v="2025-09-26"/>
    <x v="7"/>
    <x v="2"/>
    <x v="1"/>
    <s v="SKU42219"/>
    <x v="3"/>
    <s v="XL"/>
    <n v="5"/>
    <s v="INR"/>
    <n v="1708.95"/>
    <s v="Mumbai"/>
    <x v="3"/>
    <n v="400001"/>
    <s v="India"/>
    <s v="No"/>
  </r>
  <r>
    <n v="132"/>
    <s v="ORD202500132"/>
    <s v="CUST1731"/>
    <x v="0"/>
    <n v="39"/>
    <x v="2"/>
    <s v="2025-12-05"/>
    <x v="1"/>
    <x v="2"/>
    <x v="1"/>
    <s v="SKU50870"/>
    <x v="3"/>
    <s v="S"/>
    <n v="3"/>
    <s v="INR"/>
    <n v="4668.1400000000003"/>
    <s v="Delhi"/>
    <x v="3"/>
    <n v="110001"/>
    <s v="India"/>
    <s v="Yes"/>
  </r>
  <r>
    <n v="133"/>
    <s v="ORD202500133"/>
    <s v="CUST2238"/>
    <x v="1"/>
    <n v="35"/>
    <x v="2"/>
    <s v="2025-11-29"/>
    <x v="6"/>
    <x v="2"/>
    <x v="2"/>
    <s v="SKU12379"/>
    <x v="2"/>
    <s v="S"/>
    <n v="2"/>
    <s v="INR"/>
    <n v="4226.07"/>
    <s v="Lucknow"/>
    <x v="3"/>
    <n v="226001"/>
    <s v="India"/>
    <s v="Yes"/>
  </r>
  <r>
    <n v="134"/>
    <s v="ORD202500134"/>
    <s v="CUST8832"/>
    <x v="0"/>
    <n v="45"/>
    <x v="2"/>
    <s v="2025-10-22"/>
    <x v="4"/>
    <x v="2"/>
    <x v="5"/>
    <s v="SKU95912"/>
    <x v="0"/>
    <s v="M"/>
    <n v="2"/>
    <s v="INR"/>
    <n v="2329.89"/>
    <s v="Jaipur"/>
    <x v="3"/>
    <n v="302001"/>
    <s v="India"/>
    <s v="Yes"/>
  </r>
  <r>
    <n v="135"/>
    <s v="ORD202500135"/>
    <s v="CUST2519"/>
    <x v="0"/>
    <n v="46"/>
    <x v="2"/>
    <s v="2025-02-03"/>
    <x v="8"/>
    <x v="2"/>
    <x v="4"/>
    <s v="SKU19957"/>
    <x v="1"/>
    <s v="XL"/>
    <n v="1"/>
    <s v="INR"/>
    <n v="3367.15"/>
    <s v="Lucknow"/>
    <x v="3"/>
    <n v="226001"/>
    <s v="India"/>
    <s v="Yes"/>
  </r>
  <r>
    <n v="136"/>
    <s v="ORD202500136"/>
    <s v="CUST9638"/>
    <x v="0"/>
    <n v="30"/>
    <x v="2"/>
    <s v="2025-04-15"/>
    <x v="11"/>
    <x v="2"/>
    <x v="4"/>
    <s v="SKU88647"/>
    <x v="4"/>
    <s v="L"/>
    <n v="4"/>
    <s v="INR"/>
    <n v="932.59"/>
    <s v="Delhi"/>
    <x v="3"/>
    <n v="110001"/>
    <s v="India"/>
    <s v="No"/>
  </r>
  <r>
    <n v="137"/>
    <s v="ORD202500137"/>
    <s v="CUST6935"/>
    <x v="1"/>
    <n v="25"/>
    <x v="1"/>
    <s v="2025-04-06"/>
    <x v="11"/>
    <x v="2"/>
    <x v="2"/>
    <s v="SKU73745"/>
    <x v="0"/>
    <s v="M"/>
    <n v="1"/>
    <s v="INR"/>
    <n v="3892.96"/>
    <s v="Bengaluru"/>
    <x v="3"/>
    <n v="560001"/>
    <s v="India"/>
    <s v="No"/>
  </r>
  <r>
    <n v="138"/>
    <s v="ORD202500138"/>
    <s v="CUST8527"/>
    <x v="1"/>
    <n v="45"/>
    <x v="2"/>
    <s v="2025-01-21"/>
    <x v="10"/>
    <x v="2"/>
    <x v="5"/>
    <s v="SKU13610"/>
    <x v="2"/>
    <s v="M"/>
    <n v="5"/>
    <s v="INR"/>
    <n v="3715.37"/>
    <s v="Lucknow"/>
    <x v="4"/>
    <n v="226001"/>
    <s v="India"/>
    <s v="Yes"/>
  </r>
  <r>
    <n v="139"/>
    <s v="ORD202500139"/>
    <s v="CUST7276"/>
    <x v="0"/>
    <n v="59"/>
    <x v="0"/>
    <s v="2025-01-27"/>
    <x v="10"/>
    <x v="2"/>
    <x v="4"/>
    <s v="SKU46890"/>
    <x v="3"/>
    <s v="M"/>
    <n v="2"/>
    <s v="INR"/>
    <n v="4890.9799999999996"/>
    <s v="Mumbai"/>
    <x v="0"/>
    <n v="400001"/>
    <s v="India"/>
    <s v="No"/>
  </r>
  <r>
    <n v="140"/>
    <s v="ORD202500140"/>
    <s v="CUST8491"/>
    <x v="0"/>
    <n v="34"/>
    <x v="2"/>
    <s v="2025-05-11"/>
    <x v="2"/>
    <x v="2"/>
    <x v="2"/>
    <s v="SKU80307"/>
    <x v="1"/>
    <s v="M"/>
    <n v="5"/>
    <s v="INR"/>
    <n v="4454.3"/>
    <s v="Lucknow"/>
    <x v="4"/>
    <n v="226001"/>
    <s v="India"/>
    <s v="No"/>
  </r>
  <r>
    <n v="141"/>
    <s v="ORD202500141"/>
    <s v="CUST5341"/>
    <x v="0"/>
    <n v="21"/>
    <x v="1"/>
    <s v="2025-05-20"/>
    <x v="2"/>
    <x v="3"/>
    <x v="4"/>
    <s v="SKU53081"/>
    <x v="5"/>
    <s v="L"/>
    <n v="4"/>
    <s v="INR"/>
    <n v="2661.68"/>
    <s v="Lucknow"/>
    <x v="4"/>
    <n v="226001"/>
    <s v="India"/>
    <s v="No"/>
  </r>
  <r>
    <n v="142"/>
    <s v="ORD202500142"/>
    <s v="CUST2711"/>
    <x v="0"/>
    <n v="39"/>
    <x v="2"/>
    <s v="2025-04-11"/>
    <x v="11"/>
    <x v="1"/>
    <x v="0"/>
    <s v="SKU43450"/>
    <x v="4"/>
    <s v="S"/>
    <n v="3"/>
    <s v="INR"/>
    <n v="1654.23"/>
    <s v="Mumbai"/>
    <x v="0"/>
    <n v="400001"/>
    <s v="India"/>
    <s v="No"/>
  </r>
  <r>
    <n v="143"/>
    <s v="ORD202500143"/>
    <s v="CUST9455"/>
    <x v="1"/>
    <n v="45"/>
    <x v="2"/>
    <s v="2025-10-12"/>
    <x v="4"/>
    <x v="3"/>
    <x v="1"/>
    <s v="SKU69610"/>
    <x v="2"/>
    <s v="XL"/>
    <n v="2"/>
    <s v="INR"/>
    <n v="3820.92"/>
    <s v="Delhi"/>
    <x v="3"/>
    <n v="110001"/>
    <s v="India"/>
    <s v="No"/>
  </r>
  <r>
    <n v="144"/>
    <s v="ORD202500144"/>
    <s v="CUST2841"/>
    <x v="0"/>
    <n v="29"/>
    <x v="1"/>
    <s v="2025-02-19"/>
    <x v="8"/>
    <x v="0"/>
    <x v="2"/>
    <s v="SKU41575"/>
    <x v="5"/>
    <s v="M"/>
    <n v="1"/>
    <s v="INR"/>
    <n v="1692.99"/>
    <s v="Delhi"/>
    <x v="3"/>
    <n v="110001"/>
    <s v="India"/>
    <s v="No"/>
  </r>
  <r>
    <n v="145"/>
    <s v="ORD202500145"/>
    <s v="CUST5393"/>
    <x v="1"/>
    <n v="20"/>
    <x v="1"/>
    <s v="2025-05-13"/>
    <x v="2"/>
    <x v="2"/>
    <x v="1"/>
    <s v="SKU18617"/>
    <x v="3"/>
    <s v="S"/>
    <n v="4"/>
    <s v="INR"/>
    <n v="552.16"/>
    <s v="Bengaluru"/>
    <x v="1"/>
    <n v="560001"/>
    <s v="India"/>
    <s v="Yes"/>
  </r>
  <r>
    <n v="146"/>
    <s v="ORD202500146"/>
    <s v="CUST2471"/>
    <x v="1"/>
    <n v="30"/>
    <x v="2"/>
    <s v="2025-06-05"/>
    <x v="3"/>
    <x v="0"/>
    <x v="4"/>
    <s v="SKU20364"/>
    <x v="0"/>
    <s v="M"/>
    <n v="2"/>
    <s v="INR"/>
    <n v="4702.0600000000004"/>
    <s v="Delhi"/>
    <x v="3"/>
    <n v="110001"/>
    <s v="India"/>
    <s v="Yes"/>
  </r>
  <r>
    <n v="147"/>
    <s v="ORD202500147"/>
    <s v="CUST2985"/>
    <x v="0"/>
    <n v="44"/>
    <x v="2"/>
    <s v="2025-01-14"/>
    <x v="10"/>
    <x v="3"/>
    <x v="1"/>
    <s v="SKU64989"/>
    <x v="4"/>
    <s v="M"/>
    <n v="4"/>
    <s v="INR"/>
    <n v="3094.69"/>
    <s v="Mumbai"/>
    <x v="0"/>
    <n v="400001"/>
    <s v="India"/>
    <s v="Yes"/>
  </r>
  <r>
    <n v="148"/>
    <s v="ORD202500148"/>
    <s v="CUST8045"/>
    <x v="0"/>
    <n v="50"/>
    <x v="0"/>
    <s v="2025-02-20"/>
    <x v="8"/>
    <x v="0"/>
    <x v="0"/>
    <s v="SKU19841"/>
    <x v="2"/>
    <s v="L"/>
    <n v="4"/>
    <s v="INR"/>
    <n v="398.14"/>
    <s v="Lucknow"/>
    <x v="4"/>
    <n v="226001"/>
    <s v="India"/>
    <s v="Yes"/>
  </r>
  <r>
    <n v="149"/>
    <s v="ORD202500149"/>
    <s v="CUST5449"/>
    <x v="0"/>
    <n v="27"/>
    <x v="1"/>
    <s v="2025-09-02"/>
    <x v="7"/>
    <x v="3"/>
    <x v="3"/>
    <s v="SKU11982"/>
    <x v="1"/>
    <s v="L"/>
    <n v="1"/>
    <s v="INR"/>
    <n v="1333.26"/>
    <s v="Bengaluru"/>
    <x v="1"/>
    <n v="560001"/>
    <s v="India"/>
    <s v="No"/>
  </r>
  <r>
    <n v="150"/>
    <s v="ORD202500150"/>
    <s v="CUST2329"/>
    <x v="1"/>
    <n v="24"/>
    <x v="1"/>
    <s v="2025-08-06"/>
    <x v="5"/>
    <x v="0"/>
    <x v="1"/>
    <s v="SKU65764"/>
    <x v="0"/>
    <s v="M"/>
    <n v="5"/>
    <s v="INR"/>
    <n v="1579.34"/>
    <s v="Delhi"/>
    <x v="3"/>
    <n v="110001"/>
    <s v="India"/>
    <s v="Yes"/>
  </r>
  <r>
    <n v="151"/>
    <s v="ORD202500151"/>
    <s v="CUST1207"/>
    <x v="1"/>
    <n v="44"/>
    <x v="2"/>
    <s v="2025-12-16"/>
    <x v="1"/>
    <x v="1"/>
    <x v="3"/>
    <s v="SKU24703"/>
    <x v="4"/>
    <s v="L"/>
    <n v="1"/>
    <s v="INR"/>
    <n v="3150.82"/>
    <s v="Delhi"/>
    <x v="3"/>
    <n v="110001"/>
    <s v="India"/>
    <s v="No"/>
  </r>
  <r>
    <n v="152"/>
    <s v="ORD202500152"/>
    <s v="CUST7439"/>
    <x v="1"/>
    <n v="27"/>
    <x v="1"/>
    <s v="2025-04-14"/>
    <x v="11"/>
    <x v="0"/>
    <x v="5"/>
    <s v="SKU60113"/>
    <x v="2"/>
    <s v="S"/>
    <n v="3"/>
    <s v="INR"/>
    <n v="571.11"/>
    <s v="Lucknow"/>
    <x v="4"/>
    <n v="226001"/>
    <s v="India"/>
    <s v="No"/>
  </r>
  <r>
    <n v="153"/>
    <s v="ORD202500153"/>
    <s v="CUST2944"/>
    <x v="1"/>
    <n v="20"/>
    <x v="1"/>
    <s v="2025-11-19"/>
    <x v="6"/>
    <x v="2"/>
    <x v="5"/>
    <s v="SKU12863"/>
    <x v="0"/>
    <s v="XL"/>
    <n v="5"/>
    <s v="INR"/>
    <n v="2688.61"/>
    <s v="Bengaluru"/>
    <x v="1"/>
    <n v="560001"/>
    <s v="India"/>
    <s v="No"/>
  </r>
  <r>
    <n v="154"/>
    <s v="ORD202500154"/>
    <s v="CUST8599"/>
    <x v="1"/>
    <n v="30"/>
    <x v="2"/>
    <s v="2025-08-05"/>
    <x v="5"/>
    <x v="2"/>
    <x v="3"/>
    <s v="SKU18885"/>
    <x v="2"/>
    <s v="XL"/>
    <n v="1"/>
    <s v="INR"/>
    <n v="3872.11"/>
    <s v="Jaipur"/>
    <x v="2"/>
    <n v="302001"/>
    <s v="India"/>
    <s v="No"/>
  </r>
  <r>
    <n v="155"/>
    <s v="ORD202500155"/>
    <s v="CUST1449"/>
    <x v="0"/>
    <n v="38"/>
    <x v="2"/>
    <s v="2025-03-08"/>
    <x v="0"/>
    <x v="3"/>
    <x v="0"/>
    <s v="SKU57207"/>
    <x v="5"/>
    <s v="S"/>
    <n v="2"/>
    <s v="INR"/>
    <n v="2214.85"/>
    <s v="Jaipur"/>
    <x v="2"/>
    <n v="302001"/>
    <s v="India"/>
    <s v="Yes"/>
  </r>
  <r>
    <n v="156"/>
    <s v="ORD202500156"/>
    <s v="CUST3091"/>
    <x v="1"/>
    <n v="58"/>
    <x v="0"/>
    <s v="2025-07-12"/>
    <x v="9"/>
    <x v="0"/>
    <x v="0"/>
    <s v="SKU75289"/>
    <x v="3"/>
    <s v="M"/>
    <n v="5"/>
    <s v="INR"/>
    <n v="2654.87"/>
    <s v="Delhi"/>
    <x v="3"/>
    <n v="110001"/>
    <s v="India"/>
    <s v="No"/>
  </r>
  <r>
    <n v="157"/>
    <s v="ORD202500157"/>
    <s v="CUST5294"/>
    <x v="1"/>
    <n v="59"/>
    <x v="0"/>
    <s v="2025-08-12"/>
    <x v="5"/>
    <x v="2"/>
    <x v="2"/>
    <s v="SKU31160"/>
    <x v="1"/>
    <s v="L"/>
    <n v="1"/>
    <s v="INR"/>
    <n v="1208.17"/>
    <s v="Mumbai"/>
    <x v="0"/>
    <n v="400001"/>
    <s v="India"/>
    <s v="Yes"/>
  </r>
  <r>
    <n v="158"/>
    <s v="ORD202500158"/>
    <s v="CUST2614"/>
    <x v="0"/>
    <n v="30"/>
    <x v="2"/>
    <s v="2025-03-20"/>
    <x v="0"/>
    <x v="1"/>
    <x v="3"/>
    <s v="SKU66313"/>
    <x v="1"/>
    <s v="S"/>
    <n v="3"/>
    <s v="INR"/>
    <n v="340.68"/>
    <s v="Lucknow"/>
    <x v="4"/>
    <n v="226001"/>
    <s v="India"/>
    <s v="Yes"/>
  </r>
  <r>
    <n v="159"/>
    <s v="ORD202500159"/>
    <s v="CUST9957"/>
    <x v="1"/>
    <n v="25"/>
    <x v="1"/>
    <s v="2025-08-12"/>
    <x v="5"/>
    <x v="1"/>
    <x v="5"/>
    <s v="SKU65605"/>
    <x v="2"/>
    <s v="M"/>
    <n v="5"/>
    <s v="INR"/>
    <n v="3894.23"/>
    <s v="Delhi"/>
    <x v="3"/>
    <n v="110001"/>
    <s v="India"/>
    <s v="Yes"/>
  </r>
  <r>
    <n v="160"/>
    <s v="ORD202500160"/>
    <s v="CUST4275"/>
    <x v="0"/>
    <n v="30"/>
    <x v="2"/>
    <s v="2025-11-17"/>
    <x v="6"/>
    <x v="0"/>
    <x v="4"/>
    <s v="SKU31161"/>
    <x v="4"/>
    <s v="L"/>
    <n v="3"/>
    <s v="INR"/>
    <n v="3058.08"/>
    <s v="Jaipur"/>
    <x v="2"/>
    <n v="302001"/>
    <s v="India"/>
    <s v="No"/>
  </r>
  <r>
    <n v="161"/>
    <s v="ORD202500161"/>
    <s v="CUST6129"/>
    <x v="0"/>
    <n v="32"/>
    <x v="2"/>
    <s v="2025-03-31"/>
    <x v="0"/>
    <x v="1"/>
    <x v="5"/>
    <s v="SKU12293"/>
    <x v="2"/>
    <s v="M"/>
    <n v="2"/>
    <s v="INR"/>
    <n v="1804.85"/>
    <s v="Bengaluru"/>
    <x v="1"/>
    <n v="560001"/>
    <s v="India"/>
    <s v="No"/>
  </r>
  <r>
    <n v="162"/>
    <s v="ORD202500162"/>
    <s v="CUST9231"/>
    <x v="0"/>
    <n v="18"/>
    <x v="1"/>
    <s v="2025-05-31"/>
    <x v="2"/>
    <x v="3"/>
    <x v="4"/>
    <s v="SKU18328"/>
    <x v="1"/>
    <s v="M"/>
    <n v="1"/>
    <s v="INR"/>
    <n v="4677.0600000000004"/>
    <s v="Jaipur"/>
    <x v="2"/>
    <n v="302001"/>
    <s v="India"/>
    <s v="No"/>
  </r>
  <r>
    <n v="163"/>
    <s v="ORD202500163"/>
    <s v="CUST1753"/>
    <x v="0"/>
    <n v="57"/>
    <x v="0"/>
    <s v="2025-04-11"/>
    <x v="11"/>
    <x v="2"/>
    <x v="1"/>
    <s v="SKU38822"/>
    <x v="1"/>
    <s v="L"/>
    <n v="2"/>
    <s v="INR"/>
    <n v="2810.82"/>
    <s v="Lucknow"/>
    <x v="4"/>
    <n v="226001"/>
    <s v="India"/>
    <s v="No"/>
  </r>
  <r>
    <n v="164"/>
    <s v="ORD202500164"/>
    <s v="CUST5574"/>
    <x v="0"/>
    <n v="20"/>
    <x v="1"/>
    <s v="2025-08-07"/>
    <x v="5"/>
    <x v="3"/>
    <x v="5"/>
    <s v="SKU11317"/>
    <x v="3"/>
    <s v="XL"/>
    <n v="4"/>
    <s v="INR"/>
    <n v="1830.78"/>
    <s v="Jaipur"/>
    <x v="2"/>
    <n v="302001"/>
    <s v="India"/>
    <s v="No"/>
  </r>
  <r>
    <n v="165"/>
    <s v="ORD202500165"/>
    <s v="CUST6808"/>
    <x v="1"/>
    <n v="29"/>
    <x v="1"/>
    <s v="2025-03-04"/>
    <x v="0"/>
    <x v="2"/>
    <x v="3"/>
    <s v="SKU29732"/>
    <x v="1"/>
    <s v="S"/>
    <n v="4"/>
    <s v="INR"/>
    <n v="607.79999999999995"/>
    <s v="Lucknow"/>
    <x v="4"/>
    <n v="226001"/>
    <s v="India"/>
    <s v="Yes"/>
  </r>
  <r>
    <n v="166"/>
    <s v="ORD202500166"/>
    <s v="CUST2755"/>
    <x v="0"/>
    <n v="56"/>
    <x v="0"/>
    <s v="2025-06-02"/>
    <x v="3"/>
    <x v="1"/>
    <x v="2"/>
    <s v="SKU23961"/>
    <x v="5"/>
    <s v="M"/>
    <n v="3"/>
    <s v="INR"/>
    <n v="2000.67"/>
    <s v="Jaipur"/>
    <x v="2"/>
    <n v="302001"/>
    <s v="India"/>
    <s v="No"/>
  </r>
  <r>
    <n v="167"/>
    <s v="ORD202500167"/>
    <s v="CUST8851"/>
    <x v="1"/>
    <n v="58"/>
    <x v="0"/>
    <s v="2025-06-02"/>
    <x v="3"/>
    <x v="0"/>
    <x v="3"/>
    <s v="SKU15878"/>
    <x v="5"/>
    <s v="L"/>
    <n v="3"/>
    <s v="INR"/>
    <n v="1787.67"/>
    <s v="Jaipur"/>
    <x v="2"/>
    <n v="302001"/>
    <s v="India"/>
    <s v="Yes"/>
  </r>
  <r>
    <n v="168"/>
    <s v="ORD202500168"/>
    <s v="CUST3100"/>
    <x v="1"/>
    <n v="18"/>
    <x v="1"/>
    <s v="2025-02-03"/>
    <x v="8"/>
    <x v="2"/>
    <x v="1"/>
    <s v="SKU38795"/>
    <x v="1"/>
    <s v="S"/>
    <n v="1"/>
    <s v="INR"/>
    <n v="2509.0300000000002"/>
    <s v="Bengaluru"/>
    <x v="1"/>
    <n v="560001"/>
    <s v="India"/>
    <s v="Yes"/>
  </r>
  <r>
    <n v="169"/>
    <s v="ORD202500169"/>
    <s v="CUST2217"/>
    <x v="1"/>
    <n v="41"/>
    <x v="2"/>
    <s v="2025-10-03"/>
    <x v="4"/>
    <x v="3"/>
    <x v="2"/>
    <s v="SKU14380"/>
    <x v="0"/>
    <s v="S"/>
    <n v="3"/>
    <s v="INR"/>
    <n v="2406.4699999999998"/>
    <s v="Mumbai"/>
    <x v="0"/>
    <n v="400001"/>
    <s v="India"/>
    <s v="No"/>
  </r>
  <r>
    <n v="170"/>
    <s v="ORD202500170"/>
    <s v="CUST6793"/>
    <x v="0"/>
    <n v="18"/>
    <x v="1"/>
    <s v="2025-09-22"/>
    <x v="7"/>
    <x v="1"/>
    <x v="2"/>
    <s v="SKU61729"/>
    <x v="1"/>
    <s v="S"/>
    <n v="1"/>
    <s v="INR"/>
    <n v="2381.87"/>
    <s v="Jaipur"/>
    <x v="2"/>
    <n v="302001"/>
    <s v="India"/>
    <s v="Yes"/>
  </r>
  <r>
    <n v="171"/>
    <s v="ORD202500171"/>
    <s v="CUST5888"/>
    <x v="1"/>
    <n v="60"/>
    <x v="0"/>
    <s v="2025-12-20"/>
    <x v="1"/>
    <x v="1"/>
    <x v="4"/>
    <s v="SKU98276"/>
    <x v="4"/>
    <s v="XL"/>
    <n v="1"/>
    <s v="INR"/>
    <n v="2144.96"/>
    <s v="Mumbai"/>
    <x v="0"/>
    <n v="400001"/>
    <s v="India"/>
    <s v="No"/>
  </r>
  <r>
    <n v="172"/>
    <s v="ORD202500172"/>
    <s v="CUST8755"/>
    <x v="0"/>
    <n v="44"/>
    <x v="2"/>
    <s v="2025-02-08"/>
    <x v="8"/>
    <x v="3"/>
    <x v="5"/>
    <s v="SKU24023"/>
    <x v="2"/>
    <s v="M"/>
    <n v="3"/>
    <s v="INR"/>
    <n v="1571.12"/>
    <s v="Bengaluru"/>
    <x v="1"/>
    <n v="560001"/>
    <s v="India"/>
    <s v="No"/>
  </r>
  <r>
    <n v="173"/>
    <s v="ORD202500173"/>
    <s v="CUST5892"/>
    <x v="1"/>
    <n v="26"/>
    <x v="1"/>
    <s v="2025-11-30"/>
    <x v="6"/>
    <x v="1"/>
    <x v="2"/>
    <s v="SKU65640"/>
    <x v="5"/>
    <s v="M"/>
    <n v="3"/>
    <s v="INR"/>
    <n v="1191"/>
    <s v="Delhi"/>
    <x v="3"/>
    <n v="110001"/>
    <s v="India"/>
    <s v="Yes"/>
  </r>
  <r>
    <n v="174"/>
    <s v="ORD202500174"/>
    <s v="CUST7616"/>
    <x v="1"/>
    <n v="52"/>
    <x v="0"/>
    <s v="2025-02-07"/>
    <x v="8"/>
    <x v="3"/>
    <x v="1"/>
    <s v="SKU99767"/>
    <x v="0"/>
    <s v="L"/>
    <n v="4"/>
    <s v="INR"/>
    <n v="381.59"/>
    <s v="Mumbai"/>
    <x v="0"/>
    <n v="400001"/>
    <s v="India"/>
    <s v="No"/>
  </r>
  <r>
    <n v="175"/>
    <s v="ORD202500175"/>
    <s v="CUST7557"/>
    <x v="0"/>
    <n v="47"/>
    <x v="2"/>
    <s v="2025-04-02"/>
    <x v="11"/>
    <x v="0"/>
    <x v="3"/>
    <s v="SKU84359"/>
    <x v="1"/>
    <s v="XL"/>
    <n v="4"/>
    <s v="INR"/>
    <n v="3225.29"/>
    <s v="Bengaluru"/>
    <x v="1"/>
    <n v="560001"/>
    <s v="India"/>
    <s v="No"/>
  </r>
  <r>
    <n v="176"/>
    <s v="ORD202500176"/>
    <s v="CUST3800"/>
    <x v="1"/>
    <n v="56"/>
    <x v="0"/>
    <s v="2025-09-24"/>
    <x v="7"/>
    <x v="1"/>
    <x v="1"/>
    <s v="SKU41792"/>
    <x v="0"/>
    <s v="S"/>
    <n v="2"/>
    <s v="INR"/>
    <n v="750.59"/>
    <s v="Delhi"/>
    <x v="3"/>
    <n v="110001"/>
    <s v="India"/>
    <s v="Yes"/>
  </r>
  <r>
    <n v="177"/>
    <s v="ORD202500177"/>
    <s v="CUST6330"/>
    <x v="1"/>
    <n v="26"/>
    <x v="1"/>
    <s v="2025-05-14"/>
    <x v="2"/>
    <x v="2"/>
    <x v="0"/>
    <s v="SKU17989"/>
    <x v="4"/>
    <s v="L"/>
    <n v="1"/>
    <s v="INR"/>
    <n v="3663.1"/>
    <s v="Delhi"/>
    <x v="3"/>
    <n v="110001"/>
    <s v="India"/>
    <s v="No"/>
  </r>
  <r>
    <n v="178"/>
    <s v="ORD202500178"/>
    <s v="CUST9567"/>
    <x v="0"/>
    <n v="48"/>
    <x v="2"/>
    <s v="2025-07-02"/>
    <x v="9"/>
    <x v="2"/>
    <x v="4"/>
    <s v="SKU12607"/>
    <x v="3"/>
    <s v="S"/>
    <n v="2"/>
    <s v="INR"/>
    <n v="3385.07"/>
    <s v="Bengaluru"/>
    <x v="3"/>
    <n v="560001"/>
    <s v="India"/>
    <s v="Yes"/>
  </r>
  <r>
    <n v="179"/>
    <s v="ORD202500179"/>
    <s v="CUST9015"/>
    <x v="0"/>
    <n v="25"/>
    <x v="1"/>
    <s v="2025-06-02"/>
    <x v="3"/>
    <x v="2"/>
    <x v="1"/>
    <s v="SKU42514"/>
    <x v="2"/>
    <s v="XL"/>
    <n v="1"/>
    <s v="INR"/>
    <n v="3863.48"/>
    <s v="Jaipur"/>
    <x v="2"/>
    <n v="302001"/>
    <s v="India"/>
    <s v="No"/>
  </r>
  <r>
    <n v="180"/>
    <s v="ORD202500180"/>
    <s v="CUST8135"/>
    <x v="0"/>
    <n v="29"/>
    <x v="1"/>
    <s v="2025-03-08"/>
    <x v="0"/>
    <x v="2"/>
    <x v="1"/>
    <s v="SKU28557"/>
    <x v="2"/>
    <s v="L"/>
    <n v="3"/>
    <s v="INR"/>
    <n v="3241.91"/>
    <s v="Bengaluru"/>
    <x v="1"/>
    <n v="560001"/>
    <s v="India"/>
    <s v="No"/>
  </r>
  <r>
    <n v="181"/>
    <s v="ORD202500181"/>
    <s v="CUST4324"/>
    <x v="0"/>
    <n v="55"/>
    <x v="0"/>
    <s v="2025-08-20"/>
    <x v="5"/>
    <x v="2"/>
    <x v="3"/>
    <s v="SKU38467"/>
    <x v="2"/>
    <s v="L"/>
    <n v="5"/>
    <s v="INR"/>
    <n v="2506.1"/>
    <s v="Mumbai"/>
    <x v="0"/>
    <n v="400001"/>
    <s v="India"/>
    <s v="Yes"/>
  </r>
  <r>
    <n v="182"/>
    <s v="ORD202500182"/>
    <s v="CUST7665"/>
    <x v="0"/>
    <n v="47"/>
    <x v="2"/>
    <s v="2025-05-24"/>
    <x v="2"/>
    <x v="2"/>
    <x v="1"/>
    <s v="SKU21275"/>
    <x v="4"/>
    <s v="XL"/>
    <n v="5"/>
    <s v="INR"/>
    <n v="3130.1"/>
    <s v="Lucknow"/>
    <x v="4"/>
    <n v="226001"/>
    <s v="India"/>
    <s v="No"/>
  </r>
  <r>
    <n v="183"/>
    <s v="ORD202500183"/>
    <s v="CUST7473"/>
    <x v="1"/>
    <n v="34"/>
    <x v="2"/>
    <s v="2025-06-13"/>
    <x v="3"/>
    <x v="2"/>
    <x v="0"/>
    <s v="SKU21223"/>
    <x v="2"/>
    <s v="XL"/>
    <n v="3"/>
    <s v="INR"/>
    <n v="4557.43"/>
    <s v="Mumbai"/>
    <x v="0"/>
    <n v="400001"/>
    <s v="India"/>
    <s v="No"/>
  </r>
  <r>
    <n v="184"/>
    <s v="ORD202500184"/>
    <s v="CUST6457"/>
    <x v="0"/>
    <n v="36"/>
    <x v="2"/>
    <s v="2025-08-04"/>
    <x v="5"/>
    <x v="2"/>
    <x v="1"/>
    <s v="SKU94660"/>
    <x v="5"/>
    <s v="M"/>
    <n v="4"/>
    <s v="INR"/>
    <n v="4813.68"/>
    <s v="Lucknow"/>
    <x v="4"/>
    <n v="226001"/>
    <s v="India"/>
    <s v="Yes"/>
  </r>
  <r>
    <n v="185"/>
    <s v="ORD202500185"/>
    <s v="CUST2646"/>
    <x v="0"/>
    <n v="24"/>
    <x v="1"/>
    <s v="2025-09-09"/>
    <x v="7"/>
    <x v="2"/>
    <x v="4"/>
    <s v="SKU84861"/>
    <x v="1"/>
    <s v="S"/>
    <n v="1"/>
    <s v="INR"/>
    <n v="2113.79"/>
    <s v="Mumbai"/>
    <x v="0"/>
    <n v="400001"/>
    <s v="India"/>
    <s v="No"/>
  </r>
  <r>
    <n v="186"/>
    <s v="ORD202500186"/>
    <s v="CUST8327"/>
    <x v="0"/>
    <n v="30"/>
    <x v="2"/>
    <s v="2025-07-13"/>
    <x v="9"/>
    <x v="2"/>
    <x v="4"/>
    <s v="SKU82476"/>
    <x v="2"/>
    <s v="M"/>
    <n v="1"/>
    <s v="INR"/>
    <n v="2223.39"/>
    <s v="Delhi"/>
    <x v="3"/>
    <n v="110001"/>
    <s v="India"/>
    <s v="Yes"/>
  </r>
  <r>
    <n v="187"/>
    <s v="ORD202500187"/>
    <s v="CUST7748"/>
    <x v="0"/>
    <n v="41"/>
    <x v="2"/>
    <s v="2025-12-31"/>
    <x v="1"/>
    <x v="2"/>
    <x v="5"/>
    <s v="SKU61521"/>
    <x v="3"/>
    <s v="M"/>
    <n v="4"/>
    <s v="INR"/>
    <n v="1084.1500000000001"/>
    <s v="Lucknow"/>
    <x v="3"/>
    <n v="226001"/>
    <s v="India"/>
    <s v="No"/>
  </r>
  <r>
    <n v="188"/>
    <s v="ORD202500188"/>
    <s v="CUST1191"/>
    <x v="0"/>
    <n v="54"/>
    <x v="0"/>
    <s v="2025-02-19"/>
    <x v="8"/>
    <x v="2"/>
    <x v="4"/>
    <s v="SKU60572"/>
    <x v="4"/>
    <s v="S"/>
    <n v="1"/>
    <s v="INR"/>
    <n v="3316"/>
    <s v="Jaipur"/>
    <x v="3"/>
    <n v="302001"/>
    <s v="India"/>
    <s v="Yes"/>
  </r>
  <r>
    <n v="189"/>
    <s v="ORD202500189"/>
    <s v="CUST6656"/>
    <x v="0"/>
    <n v="59"/>
    <x v="0"/>
    <s v="2025-10-21"/>
    <x v="4"/>
    <x v="2"/>
    <x v="0"/>
    <s v="SKU60090"/>
    <x v="5"/>
    <s v="L"/>
    <n v="2"/>
    <s v="INR"/>
    <n v="1599.12"/>
    <s v="Mumbai"/>
    <x v="3"/>
    <n v="400001"/>
    <s v="India"/>
    <s v="No"/>
  </r>
  <r>
    <n v="190"/>
    <s v="ORD202500190"/>
    <s v="CUST4336"/>
    <x v="1"/>
    <n v="43"/>
    <x v="2"/>
    <s v="2025-12-18"/>
    <x v="1"/>
    <x v="2"/>
    <x v="5"/>
    <s v="SKU17983"/>
    <x v="4"/>
    <s v="L"/>
    <n v="5"/>
    <s v="INR"/>
    <n v="683.12"/>
    <s v="Mumbai"/>
    <x v="3"/>
    <n v="400001"/>
    <s v="India"/>
    <s v="Yes"/>
  </r>
  <r>
    <n v="191"/>
    <s v="ORD202500191"/>
    <s v="CUST9565"/>
    <x v="1"/>
    <n v="36"/>
    <x v="2"/>
    <s v="2025-08-12"/>
    <x v="5"/>
    <x v="2"/>
    <x v="3"/>
    <s v="SKU79375"/>
    <x v="3"/>
    <s v="S"/>
    <n v="4"/>
    <s v="INR"/>
    <n v="2265.8200000000002"/>
    <s v="Bengaluru"/>
    <x v="3"/>
    <n v="560001"/>
    <s v="India"/>
    <s v="Yes"/>
  </r>
  <r>
    <n v="192"/>
    <s v="ORD202500192"/>
    <s v="CUST1386"/>
    <x v="0"/>
    <n v="21"/>
    <x v="1"/>
    <s v="2025-11-15"/>
    <x v="6"/>
    <x v="2"/>
    <x v="4"/>
    <s v="SKU45527"/>
    <x v="1"/>
    <s v="S"/>
    <n v="3"/>
    <s v="INR"/>
    <n v="2909.27"/>
    <s v="Delhi"/>
    <x v="3"/>
    <n v="110001"/>
    <s v="India"/>
    <s v="Yes"/>
  </r>
  <r>
    <n v="193"/>
    <s v="ORD202500193"/>
    <s v="CUST1694"/>
    <x v="1"/>
    <n v="22"/>
    <x v="1"/>
    <s v="2025-06-09"/>
    <x v="3"/>
    <x v="2"/>
    <x v="4"/>
    <s v="SKU29405"/>
    <x v="2"/>
    <s v="M"/>
    <n v="5"/>
    <s v="INR"/>
    <n v="3551.49"/>
    <s v="Lucknow"/>
    <x v="0"/>
    <n v="226001"/>
    <s v="India"/>
    <s v="Yes"/>
  </r>
  <r>
    <n v="194"/>
    <s v="ORD202500194"/>
    <s v="CUST4330"/>
    <x v="1"/>
    <n v="25"/>
    <x v="1"/>
    <s v="2025-11-01"/>
    <x v="6"/>
    <x v="3"/>
    <x v="5"/>
    <s v="SKU24244"/>
    <x v="4"/>
    <s v="L"/>
    <n v="3"/>
    <s v="INR"/>
    <n v="2725.84"/>
    <s v="Jaipur"/>
    <x v="2"/>
    <n v="302001"/>
    <s v="India"/>
    <s v="No"/>
  </r>
  <r>
    <n v="195"/>
    <s v="ORD202500195"/>
    <s v="CUST2429"/>
    <x v="1"/>
    <n v="52"/>
    <x v="0"/>
    <s v="2025-06-24"/>
    <x v="3"/>
    <x v="2"/>
    <x v="4"/>
    <s v="SKU69477"/>
    <x v="1"/>
    <s v="XL"/>
    <n v="2"/>
    <s v="INR"/>
    <n v="3422.14"/>
    <s v="Jaipur"/>
    <x v="2"/>
    <n v="302001"/>
    <s v="India"/>
    <s v="No"/>
  </r>
  <r>
    <n v="196"/>
    <s v="ORD202500196"/>
    <s v="CUST8305"/>
    <x v="1"/>
    <n v="38"/>
    <x v="2"/>
    <s v="2025-06-18"/>
    <x v="3"/>
    <x v="0"/>
    <x v="1"/>
    <s v="SKU20740"/>
    <x v="3"/>
    <s v="L"/>
    <n v="2"/>
    <s v="INR"/>
    <n v="804.04"/>
    <s v="Mumbai"/>
    <x v="2"/>
    <n v="400001"/>
    <s v="India"/>
    <s v="Yes"/>
  </r>
  <r>
    <n v="197"/>
    <s v="ORD202500197"/>
    <s v="CUST6698"/>
    <x v="0"/>
    <n v="26"/>
    <x v="1"/>
    <s v="2025-02-20"/>
    <x v="8"/>
    <x v="3"/>
    <x v="0"/>
    <s v="SKU49105"/>
    <x v="4"/>
    <s v="S"/>
    <n v="4"/>
    <s v="INR"/>
    <n v="1188.26"/>
    <s v="Mumbai"/>
    <x v="2"/>
    <n v="400001"/>
    <s v="India"/>
    <s v="No"/>
  </r>
  <r>
    <n v="198"/>
    <s v="ORD202500198"/>
    <s v="CUST6216"/>
    <x v="1"/>
    <n v="32"/>
    <x v="2"/>
    <s v="2025-01-16"/>
    <x v="10"/>
    <x v="3"/>
    <x v="0"/>
    <s v="SKU88674"/>
    <x v="3"/>
    <s v="S"/>
    <n v="1"/>
    <s v="INR"/>
    <n v="1312.55"/>
    <s v="Delhi"/>
    <x v="2"/>
    <n v="110001"/>
    <s v="India"/>
    <s v="No"/>
  </r>
  <r>
    <n v="199"/>
    <s v="ORD202500199"/>
    <s v="CUST6288"/>
    <x v="1"/>
    <n v="33"/>
    <x v="2"/>
    <s v="2025-11-15"/>
    <x v="6"/>
    <x v="1"/>
    <x v="2"/>
    <s v="SKU46668"/>
    <x v="4"/>
    <s v="S"/>
    <n v="5"/>
    <s v="INR"/>
    <n v="2969.63"/>
    <s v="Delhi"/>
    <x v="2"/>
    <n v="110001"/>
    <s v="India"/>
    <s v="Yes"/>
  </r>
  <r>
    <n v="200"/>
    <s v="ORD202500200"/>
    <s v="CUST2981"/>
    <x v="0"/>
    <n v="58"/>
    <x v="0"/>
    <s v="2025-04-04"/>
    <x v="11"/>
    <x v="0"/>
    <x v="1"/>
    <s v="SKU11851"/>
    <x v="1"/>
    <s v="S"/>
    <n v="2"/>
    <s v="INR"/>
    <n v="3900.36"/>
    <s v="Lucknow"/>
    <x v="2"/>
    <n v="226001"/>
    <s v="India"/>
    <s v="No"/>
  </r>
  <r>
    <n v="201"/>
    <s v="ORD202500201"/>
    <s v="CUST2843"/>
    <x v="1"/>
    <n v="53"/>
    <x v="0"/>
    <s v="2025-04-04"/>
    <x v="11"/>
    <x v="0"/>
    <x v="4"/>
    <s v="SKU32250"/>
    <x v="2"/>
    <s v="XL"/>
    <n v="4"/>
    <s v="INR"/>
    <n v="1849.05"/>
    <s v="Lucknow"/>
    <x v="2"/>
    <n v="226001"/>
    <s v="India"/>
    <s v="Yes"/>
  </r>
  <r>
    <n v="202"/>
    <s v="ORD202500202"/>
    <s v="CUST3350"/>
    <x v="1"/>
    <n v="39"/>
    <x v="2"/>
    <s v="2025-01-02"/>
    <x v="10"/>
    <x v="1"/>
    <x v="3"/>
    <s v="SKU66521"/>
    <x v="5"/>
    <s v="XL"/>
    <n v="1"/>
    <s v="INR"/>
    <n v="4079.47"/>
    <s v="Mumbai"/>
    <x v="3"/>
    <n v="400001"/>
    <s v="India"/>
    <s v="No"/>
  </r>
  <r>
    <n v="203"/>
    <s v="ORD202500203"/>
    <s v="CUST7320"/>
    <x v="0"/>
    <n v="51"/>
    <x v="0"/>
    <s v="2025-10-24"/>
    <x v="4"/>
    <x v="3"/>
    <x v="3"/>
    <s v="SKU38232"/>
    <x v="1"/>
    <s v="L"/>
    <n v="1"/>
    <s v="INR"/>
    <n v="1746.96"/>
    <s v="Jaipur"/>
    <x v="3"/>
    <n v="302001"/>
    <s v="India"/>
    <s v="No"/>
  </r>
  <r>
    <n v="204"/>
    <s v="ORD202500204"/>
    <s v="CUST1162"/>
    <x v="0"/>
    <n v="59"/>
    <x v="0"/>
    <s v="2025-06-30"/>
    <x v="3"/>
    <x v="0"/>
    <x v="0"/>
    <s v="SKU60643"/>
    <x v="2"/>
    <s v="M"/>
    <n v="3"/>
    <s v="INR"/>
    <n v="336.58"/>
    <s v="Lucknow"/>
    <x v="3"/>
    <n v="226001"/>
    <s v="India"/>
    <s v="No"/>
  </r>
  <r>
    <n v="205"/>
    <s v="ORD202500205"/>
    <s v="CUST4787"/>
    <x v="0"/>
    <n v="19"/>
    <x v="1"/>
    <s v="2025-04-04"/>
    <x v="11"/>
    <x v="0"/>
    <x v="5"/>
    <s v="SKU96728"/>
    <x v="5"/>
    <s v="L"/>
    <n v="3"/>
    <s v="INR"/>
    <n v="3731.28"/>
    <s v="Lucknow"/>
    <x v="3"/>
    <n v="226001"/>
    <s v="India"/>
    <s v="No"/>
  </r>
  <r>
    <n v="206"/>
    <s v="ORD202500206"/>
    <s v="CUST6767"/>
    <x v="0"/>
    <n v="27"/>
    <x v="1"/>
    <s v="2025-08-09"/>
    <x v="5"/>
    <x v="3"/>
    <x v="4"/>
    <s v="SKU22258"/>
    <x v="3"/>
    <s v="XL"/>
    <n v="2"/>
    <s v="INR"/>
    <n v="2268.86"/>
    <s v="Mumbai"/>
    <x v="3"/>
    <n v="400001"/>
    <s v="India"/>
    <s v="No"/>
  </r>
  <r>
    <n v="207"/>
    <s v="ORD202500207"/>
    <s v="CUST2665"/>
    <x v="0"/>
    <n v="39"/>
    <x v="2"/>
    <s v="2025-03-24"/>
    <x v="0"/>
    <x v="1"/>
    <x v="2"/>
    <s v="SKU33872"/>
    <x v="4"/>
    <s v="L"/>
    <n v="3"/>
    <s v="INR"/>
    <n v="572.70000000000005"/>
    <s v="Bengaluru"/>
    <x v="3"/>
    <n v="560001"/>
    <s v="India"/>
    <s v="Yes"/>
  </r>
  <r>
    <n v="208"/>
    <s v="ORD202500208"/>
    <s v="CUST3203"/>
    <x v="0"/>
    <n v="53"/>
    <x v="0"/>
    <s v="2025-09-22"/>
    <x v="7"/>
    <x v="3"/>
    <x v="5"/>
    <s v="SKU70759"/>
    <x v="4"/>
    <s v="XL"/>
    <n v="3"/>
    <s v="INR"/>
    <n v="1996.07"/>
    <s v="Delhi"/>
    <x v="3"/>
    <n v="110001"/>
    <s v="India"/>
    <s v="Yes"/>
  </r>
  <r>
    <n v="209"/>
    <s v="ORD202500209"/>
    <s v="CUST8266"/>
    <x v="0"/>
    <n v="19"/>
    <x v="1"/>
    <s v="2025-01-18"/>
    <x v="10"/>
    <x v="2"/>
    <x v="0"/>
    <s v="SKU42570"/>
    <x v="1"/>
    <s v="M"/>
    <n v="1"/>
    <s v="INR"/>
    <n v="4902.6099999999997"/>
    <s v="Bengaluru"/>
    <x v="1"/>
    <n v="560001"/>
    <s v="India"/>
    <s v="Yes"/>
  </r>
  <r>
    <n v="210"/>
    <s v="ORD202500210"/>
    <s v="CUST7955"/>
    <x v="0"/>
    <n v="46"/>
    <x v="2"/>
    <s v="2025-05-14"/>
    <x v="2"/>
    <x v="1"/>
    <x v="3"/>
    <s v="SKU46540"/>
    <x v="2"/>
    <s v="M"/>
    <n v="1"/>
    <s v="INR"/>
    <n v="3135.55"/>
    <s v="Jaipur"/>
    <x v="2"/>
    <n v="302001"/>
    <s v="India"/>
    <s v="Yes"/>
  </r>
  <r>
    <n v="211"/>
    <s v="ORD202500211"/>
    <s v="CUST8302"/>
    <x v="1"/>
    <n v="29"/>
    <x v="1"/>
    <s v="2025-11-13"/>
    <x v="6"/>
    <x v="1"/>
    <x v="0"/>
    <s v="SKU91514"/>
    <x v="1"/>
    <s v="M"/>
    <n v="1"/>
    <s v="INR"/>
    <n v="2314.96"/>
    <s v="Mumbai"/>
    <x v="0"/>
    <n v="400001"/>
    <s v="India"/>
    <s v="Yes"/>
  </r>
  <r>
    <n v="212"/>
    <s v="ORD202500212"/>
    <s v="CUST4122"/>
    <x v="0"/>
    <n v="60"/>
    <x v="0"/>
    <s v="2025-10-28"/>
    <x v="4"/>
    <x v="0"/>
    <x v="0"/>
    <s v="SKU43407"/>
    <x v="4"/>
    <s v="M"/>
    <n v="3"/>
    <s v="INR"/>
    <n v="1314.33"/>
    <s v="Mumbai"/>
    <x v="0"/>
    <n v="400001"/>
    <s v="India"/>
    <s v="Yes"/>
  </r>
  <r>
    <n v="213"/>
    <s v="ORD202500213"/>
    <s v="CUST2676"/>
    <x v="0"/>
    <n v="27"/>
    <x v="1"/>
    <s v="2025-07-21"/>
    <x v="9"/>
    <x v="0"/>
    <x v="1"/>
    <s v="SKU62556"/>
    <x v="1"/>
    <s v="M"/>
    <n v="4"/>
    <s v="INR"/>
    <n v="387.17"/>
    <s v="Bengaluru"/>
    <x v="1"/>
    <n v="560001"/>
    <s v="India"/>
    <s v="Yes"/>
  </r>
  <r>
    <n v="214"/>
    <s v="ORD202500214"/>
    <s v="CUST9511"/>
    <x v="1"/>
    <n v="55"/>
    <x v="0"/>
    <s v="2025-04-05"/>
    <x v="11"/>
    <x v="0"/>
    <x v="1"/>
    <s v="SKU97001"/>
    <x v="3"/>
    <s v="L"/>
    <n v="5"/>
    <s v="INR"/>
    <n v="1301.5999999999999"/>
    <s v="Delhi"/>
    <x v="3"/>
    <n v="110001"/>
    <s v="India"/>
    <s v="Yes"/>
  </r>
  <r>
    <n v="215"/>
    <s v="ORD202500215"/>
    <s v="CUST3434"/>
    <x v="0"/>
    <n v="58"/>
    <x v="0"/>
    <s v="2025-10-08"/>
    <x v="4"/>
    <x v="0"/>
    <x v="3"/>
    <s v="SKU97856"/>
    <x v="0"/>
    <s v="S"/>
    <n v="4"/>
    <s v="INR"/>
    <n v="1984.07"/>
    <s v="Delhi"/>
    <x v="3"/>
    <n v="110001"/>
    <s v="India"/>
    <s v="No"/>
  </r>
  <r>
    <n v="216"/>
    <s v="ORD202500216"/>
    <s v="CUST8859"/>
    <x v="0"/>
    <n v="60"/>
    <x v="0"/>
    <s v="2025-01-12"/>
    <x v="10"/>
    <x v="3"/>
    <x v="4"/>
    <s v="SKU93059"/>
    <x v="5"/>
    <s v="XL"/>
    <n v="3"/>
    <s v="INR"/>
    <n v="1812.17"/>
    <s v="Mumbai"/>
    <x v="0"/>
    <n v="400001"/>
    <s v="India"/>
    <s v="Yes"/>
  </r>
  <r>
    <n v="217"/>
    <s v="ORD202500217"/>
    <s v="CUST5938"/>
    <x v="0"/>
    <n v="29"/>
    <x v="1"/>
    <s v="2025-05-16"/>
    <x v="2"/>
    <x v="3"/>
    <x v="1"/>
    <s v="SKU49850"/>
    <x v="1"/>
    <s v="M"/>
    <n v="3"/>
    <s v="INR"/>
    <n v="4453.72"/>
    <s v="Jaipur"/>
    <x v="2"/>
    <n v="302001"/>
    <s v="India"/>
    <s v="Yes"/>
  </r>
  <r>
    <n v="218"/>
    <s v="ORD202500218"/>
    <s v="CUST7052"/>
    <x v="0"/>
    <n v="23"/>
    <x v="1"/>
    <s v="2025-01-17"/>
    <x v="10"/>
    <x v="3"/>
    <x v="1"/>
    <s v="SKU56211"/>
    <x v="1"/>
    <s v="L"/>
    <n v="3"/>
    <s v="INR"/>
    <n v="1420.48"/>
    <s v="Delhi"/>
    <x v="3"/>
    <n v="110001"/>
    <s v="India"/>
    <s v="Yes"/>
  </r>
  <r>
    <n v="219"/>
    <s v="ORD202500219"/>
    <s v="CUST1456"/>
    <x v="0"/>
    <n v="40"/>
    <x v="2"/>
    <s v="2025-05-23"/>
    <x v="2"/>
    <x v="1"/>
    <x v="1"/>
    <s v="SKU60469"/>
    <x v="4"/>
    <s v="XL"/>
    <n v="4"/>
    <s v="INR"/>
    <n v="1709.18"/>
    <s v="Bengaluru"/>
    <x v="1"/>
    <n v="560001"/>
    <s v="India"/>
    <s v="No"/>
  </r>
  <r>
    <n v="220"/>
    <s v="ORD202500220"/>
    <s v="CUST4368"/>
    <x v="0"/>
    <n v="60"/>
    <x v="0"/>
    <s v="2025-03-25"/>
    <x v="0"/>
    <x v="3"/>
    <x v="2"/>
    <s v="SKU22650"/>
    <x v="3"/>
    <s v="L"/>
    <n v="5"/>
    <s v="INR"/>
    <n v="4344.5200000000004"/>
    <s v="Lucknow"/>
    <x v="4"/>
    <n v="226001"/>
    <s v="India"/>
    <s v="Yes"/>
  </r>
  <r>
    <n v="221"/>
    <s v="ORD202500221"/>
    <s v="CUST4310"/>
    <x v="1"/>
    <n v="37"/>
    <x v="2"/>
    <s v="2025-05-01"/>
    <x v="2"/>
    <x v="0"/>
    <x v="2"/>
    <s v="SKU21379"/>
    <x v="0"/>
    <s v="XL"/>
    <n v="4"/>
    <s v="INR"/>
    <n v="1220.69"/>
    <s v="Delhi"/>
    <x v="3"/>
    <n v="110001"/>
    <s v="India"/>
    <s v="No"/>
  </r>
  <r>
    <n v="222"/>
    <s v="ORD202500222"/>
    <s v="CUST6034"/>
    <x v="1"/>
    <n v="39"/>
    <x v="2"/>
    <s v="2025-01-25"/>
    <x v="10"/>
    <x v="2"/>
    <x v="2"/>
    <s v="SKU54713"/>
    <x v="0"/>
    <s v="XL"/>
    <n v="2"/>
    <s v="INR"/>
    <n v="1884.84"/>
    <s v="Mumbai"/>
    <x v="0"/>
    <n v="400001"/>
    <s v="India"/>
    <s v="Yes"/>
  </r>
  <r>
    <n v="223"/>
    <s v="ORD202500223"/>
    <s v="CUST6998"/>
    <x v="0"/>
    <n v="60"/>
    <x v="0"/>
    <s v="2025-05-18"/>
    <x v="2"/>
    <x v="1"/>
    <x v="2"/>
    <s v="SKU19720"/>
    <x v="5"/>
    <s v="M"/>
    <n v="2"/>
    <s v="INR"/>
    <n v="487.14"/>
    <s v="Delhi"/>
    <x v="3"/>
    <n v="110001"/>
    <s v="India"/>
    <s v="Yes"/>
  </r>
  <r>
    <n v="224"/>
    <s v="ORD202500224"/>
    <s v="CUST5265"/>
    <x v="1"/>
    <n v="46"/>
    <x v="2"/>
    <s v="2025-06-10"/>
    <x v="3"/>
    <x v="2"/>
    <x v="2"/>
    <s v="SKU97113"/>
    <x v="1"/>
    <s v="M"/>
    <n v="2"/>
    <s v="INR"/>
    <n v="3600.32"/>
    <s v="Mumbai"/>
    <x v="0"/>
    <n v="400001"/>
    <s v="India"/>
    <s v="Yes"/>
  </r>
  <r>
    <n v="225"/>
    <s v="ORD202500225"/>
    <s v="CUST4119"/>
    <x v="1"/>
    <n v="23"/>
    <x v="1"/>
    <s v="2025-02-01"/>
    <x v="8"/>
    <x v="1"/>
    <x v="2"/>
    <s v="SKU99970"/>
    <x v="3"/>
    <s v="XL"/>
    <n v="3"/>
    <s v="INR"/>
    <n v="4323.8900000000003"/>
    <s v="Bengaluru"/>
    <x v="1"/>
    <n v="560001"/>
    <s v="India"/>
    <s v="Yes"/>
  </r>
  <r>
    <n v="226"/>
    <s v="ORD202500226"/>
    <s v="CUST1796"/>
    <x v="0"/>
    <n v="48"/>
    <x v="2"/>
    <s v="2025-06-18"/>
    <x v="3"/>
    <x v="2"/>
    <x v="2"/>
    <s v="SKU48053"/>
    <x v="2"/>
    <s v="XL"/>
    <n v="1"/>
    <s v="INR"/>
    <n v="4644.09"/>
    <s v="Mumbai"/>
    <x v="0"/>
    <n v="400001"/>
    <s v="India"/>
    <s v="Yes"/>
  </r>
  <r>
    <n v="227"/>
    <s v="ORD202500227"/>
    <s v="CUST1834"/>
    <x v="1"/>
    <n v="45"/>
    <x v="2"/>
    <s v="2025-11-16"/>
    <x v="6"/>
    <x v="2"/>
    <x v="2"/>
    <s v="SKU89228"/>
    <x v="5"/>
    <s v="M"/>
    <n v="2"/>
    <s v="INR"/>
    <n v="4364.3999999999996"/>
    <s v="Delhi"/>
    <x v="3"/>
    <n v="110001"/>
    <s v="India"/>
    <s v="No"/>
  </r>
  <r>
    <n v="228"/>
    <s v="ORD202500228"/>
    <s v="CUST5164"/>
    <x v="0"/>
    <n v="24"/>
    <x v="1"/>
    <s v="2025-01-08"/>
    <x v="10"/>
    <x v="2"/>
    <x v="2"/>
    <s v="SKU82250"/>
    <x v="0"/>
    <s v="XL"/>
    <n v="4"/>
    <s v="INR"/>
    <n v="3202.15"/>
    <s v="Lucknow"/>
    <x v="4"/>
    <n v="226001"/>
    <s v="India"/>
    <s v="Yes"/>
  </r>
  <r>
    <n v="229"/>
    <s v="ORD202500229"/>
    <s v="CUST6907"/>
    <x v="0"/>
    <n v="44"/>
    <x v="2"/>
    <s v="2025-10-07"/>
    <x v="4"/>
    <x v="1"/>
    <x v="2"/>
    <s v="SKU84432"/>
    <x v="1"/>
    <s v="M"/>
    <n v="4"/>
    <s v="INR"/>
    <n v="1649.64"/>
    <s v="Bengaluru"/>
    <x v="1"/>
    <n v="560001"/>
    <s v="India"/>
    <s v="No"/>
  </r>
  <r>
    <n v="230"/>
    <s v="ORD202500230"/>
    <s v="CUST2328"/>
    <x v="1"/>
    <n v="48"/>
    <x v="2"/>
    <s v="2025-09-22"/>
    <x v="7"/>
    <x v="1"/>
    <x v="2"/>
    <s v="SKU98732"/>
    <x v="0"/>
    <s v="S"/>
    <n v="5"/>
    <s v="INR"/>
    <n v="3584.48"/>
    <s v="Jaipur"/>
    <x v="2"/>
    <n v="302001"/>
    <s v="India"/>
    <s v="Yes"/>
  </r>
  <r>
    <n v="231"/>
    <s v="ORD202500231"/>
    <s v="CUST4500"/>
    <x v="0"/>
    <n v="30"/>
    <x v="2"/>
    <s v="2025-01-13"/>
    <x v="10"/>
    <x v="2"/>
    <x v="2"/>
    <s v="SKU26196"/>
    <x v="0"/>
    <s v="XL"/>
    <n v="1"/>
    <s v="INR"/>
    <n v="3678.11"/>
    <s v="Mumbai"/>
    <x v="0"/>
    <n v="400001"/>
    <s v="India"/>
    <s v="Yes"/>
  </r>
  <r>
    <n v="232"/>
    <s v="ORD202500232"/>
    <s v="CUST5188"/>
    <x v="0"/>
    <n v="54"/>
    <x v="0"/>
    <s v="2025-12-23"/>
    <x v="1"/>
    <x v="2"/>
    <x v="2"/>
    <s v="SKU77214"/>
    <x v="0"/>
    <s v="S"/>
    <n v="2"/>
    <s v="INR"/>
    <n v="4427.7299999999996"/>
    <s v="Lucknow"/>
    <x v="4"/>
    <n v="226001"/>
    <s v="India"/>
    <s v="No"/>
  </r>
  <r>
    <n v="233"/>
    <s v="ORD202500233"/>
    <s v="CUST3447"/>
    <x v="0"/>
    <n v="19"/>
    <x v="1"/>
    <s v="2025-09-22"/>
    <x v="7"/>
    <x v="3"/>
    <x v="5"/>
    <s v="SKU55247"/>
    <x v="4"/>
    <s v="S"/>
    <n v="4"/>
    <s v="INR"/>
    <n v="4874.42"/>
    <s v="Mumbai"/>
    <x v="0"/>
    <n v="400001"/>
    <s v="India"/>
    <s v="No"/>
  </r>
  <r>
    <n v="234"/>
    <s v="ORD202500234"/>
    <s v="CUST3433"/>
    <x v="0"/>
    <n v="50"/>
    <x v="0"/>
    <s v="2025-06-27"/>
    <x v="3"/>
    <x v="2"/>
    <x v="5"/>
    <s v="SKU59708"/>
    <x v="4"/>
    <s v="S"/>
    <n v="5"/>
    <s v="INR"/>
    <n v="476.75"/>
    <s v="Jaipur"/>
    <x v="2"/>
    <n v="302001"/>
    <s v="India"/>
    <s v="Yes"/>
  </r>
  <r>
    <n v="235"/>
    <s v="ORD202500235"/>
    <s v="CUST1846"/>
    <x v="0"/>
    <n v="34"/>
    <x v="2"/>
    <s v="2025-07-10"/>
    <x v="9"/>
    <x v="3"/>
    <x v="2"/>
    <s v="SKU38954"/>
    <x v="4"/>
    <s v="M"/>
    <n v="2"/>
    <s v="INR"/>
    <n v="1761.17"/>
    <s v="Mumbai"/>
    <x v="0"/>
    <n v="400001"/>
    <s v="India"/>
    <s v="No"/>
  </r>
  <r>
    <n v="236"/>
    <s v="ORD202500236"/>
    <s v="CUST6900"/>
    <x v="0"/>
    <n v="43"/>
    <x v="2"/>
    <s v="2025-06-09"/>
    <x v="3"/>
    <x v="0"/>
    <x v="4"/>
    <s v="SKU50799"/>
    <x v="5"/>
    <s v="XL"/>
    <n v="2"/>
    <s v="INR"/>
    <n v="3159.79"/>
    <s v="Lucknow"/>
    <x v="4"/>
    <n v="226001"/>
    <s v="India"/>
    <s v="Yes"/>
  </r>
  <r>
    <n v="237"/>
    <s v="ORD202500237"/>
    <s v="CUST2052"/>
    <x v="0"/>
    <n v="25"/>
    <x v="1"/>
    <s v="2025-02-15"/>
    <x v="8"/>
    <x v="1"/>
    <x v="5"/>
    <s v="SKU12458"/>
    <x v="5"/>
    <s v="S"/>
    <n v="2"/>
    <s v="INR"/>
    <n v="2883.18"/>
    <s v="Delhi"/>
    <x v="3"/>
    <n v="110001"/>
    <s v="India"/>
    <s v="No"/>
  </r>
  <r>
    <n v="238"/>
    <s v="ORD202500238"/>
    <s v="CUST1174"/>
    <x v="0"/>
    <n v="29"/>
    <x v="1"/>
    <s v="2025-06-06"/>
    <x v="3"/>
    <x v="2"/>
    <x v="0"/>
    <s v="SKU84057"/>
    <x v="5"/>
    <s v="S"/>
    <n v="1"/>
    <s v="INR"/>
    <n v="4962.58"/>
    <s v="Jaipur"/>
    <x v="2"/>
    <n v="302001"/>
    <s v="India"/>
    <s v="Yes"/>
  </r>
  <r>
    <n v="239"/>
    <s v="ORD202500239"/>
    <s v="CUST6026"/>
    <x v="0"/>
    <n v="36"/>
    <x v="2"/>
    <s v="2025-08-20"/>
    <x v="5"/>
    <x v="3"/>
    <x v="2"/>
    <s v="SKU40714"/>
    <x v="2"/>
    <s v="M"/>
    <n v="5"/>
    <s v="INR"/>
    <n v="4529.16"/>
    <s v="Lucknow"/>
    <x v="4"/>
    <n v="226001"/>
    <s v="India"/>
    <s v="No"/>
  </r>
  <r>
    <n v="240"/>
    <s v="ORD202500240"/>
    <s v="CUST6045"/>
    <x v="0"/>
    <n v="34"/>
    <x v="2"/>
    <s v="2025-01-03"/>
    <x v="10"/>
    <x v="1"/>
    <x v="0"/>
    <s v="SKU71506"/>
    <x v="3"/>
    <s v="L"/>
    <n v="4"/>
    <s v="INR"/>
    <n v="2120.09"/>
    <s v="Jaipur"/>
    <x v="2"/>
    <n v="302001"/>
    <s v="India"/>
    <s v="Yes"/>
  </r>
  <r>
    <n v="241"/>
    <s v="ORD202500241"/>
    <s v="CUST4722"/>
    <x v="0"/>
    <n v="31"/>
    <x v="2"/>
    <s v="2025-06-07"/>
    <x v="3"/>
    <x v="0"/>
    <x v="0"/>
    <s v="SKU86124"/>
    <x v="2"/>
    <s v="XL"/>
    <n v="5"/>
    <s v="INR"/>
    <n v="939.45"/>
    <s v="Bengaluru"/>
    <x v="1"/>
    <n v="560001"/>
    <s v="India"/>
    <s v="No"/>
  </r>
  <r>
    <n v="242"/>
    <s v="ORD202500242"/>
    <s v="CUST9073"/>
    <x v="0"/>
    <n v="40"/>
    <x v="2"/>
    <s v="2025-08-18"/>
    <x v="5"/>
    <x v="1"/>
    <x v="5"/>
    <s v="SKU77255"/>
    <x v="2"/>
    <s v="L"/>
    <n v="2"/>
    <s v="INR"/>
    <n v="4134.9799999999996"/>
    <s v="Delhi"/>
    <x v="3"/>
    <n v="110001"/>
    <s v="India"/>
    <s v="No"/>
  </r>
  <r>
    <n v="243"/>
    <s v="ORD202500243"/>
    <s v="CUST2872"/>
    <x v="0"/>
    <n v="48"/>
    <x v="2"/>
    <s v="2025-11-10"/>
    <x v="6"/>
    <x v="2"/>
    <x v="5"/>
    <s v="SKU26670"/>
    <x v="4"/>
    <s v="M"/>
    <n v="4"/>
    <s v="INR"/>
    <n v="4181.13"/>
    <s v="Bengaluru"/>
    <x v="1"/>
    <n v="560001"/>
    <s v="India"/>
    <s v="No"/>
  </r>
  <r>
    <n v="244"/>
    <s v="ORD202500244"/>
    <s v="CUST2903"/>
    <x v="0"/>
    <n v="38"/>
    <x v="2"/>
    <s v="2025-12-17"/>
    <x v="1"/>
    <x v="2"/>
    <x v="2"/>
    <s v="SKU38397"/>
    <x v="4"/>
    <s v="XL"/>
    <n v="2"/>
    <s v="INR"/>
    <n v="681.97"/>
    <s v="Lucknow"/>
    <x v="4"/>
    <n v="226001"/>
    <s v="India"/>
    <s v="Yes"/>
  </r>
  <r>
    <n v="245"/>
    <s v="ORD202500245"/>
    <s v="CUST4400"/>
    <x v="0"/>
    <n v="19"/>
    <x v="1"/>
    <s v="2025-10-06"/>
    <x v="4"/>
    <x v="2"/>
    <x v="4"/>
    <s v="SKU88016"/>
    <x v="0"/>
    <s v="XL"/>
    <n v="2"/>
    <s v="INR"/>
    <n v="1984.14"/>
    <s v="Jaipur"/>
    <x v="2"/>
    <n v="302001"/>
    <s v="India"/>
    <s v="Yes"/>
  </r>
  <r>
    <n v="246"/>
    <s v="ORD202500246"/>
    <s v="CUST3266"/>
    <x v="0"/>
    <n v="48"/>
    <x v="2"/>
    <s v="2025-02-13"/>
    <x v="8"/>
    <x v="1"/>
    <x v="0"/>
    <s v="SKU21560"/>
    <x v="2"/>
    <s v="L"/>
    <n v="1"/>
    <s v="INR"/>
    <n v="3343.64"/>
    <s v="Jaipur"/>
    <x v="2"/>
    <n v="302001"/>
    <s v="India"/>
    <s v="Yes"/>
  </r>
  <r>
    <n v="247"/>
    <s v="ORD202500247"/>
    <s v="CUST6315"/>
    <x v="0"/>
    <n v="21"/>
    <x v="1"/>
    <s v="2025-09-28"/>
    <x v="7"/>
    <x v="2"/>
    <x v="4"/>
    <s v="SKU33849"/>
    <x v="3"/>
    <s v="S"/>
    <n v="4"/>
    <s v="INR"/>
    <n v="3710.6"/>
    <s v="Mumbai"/>
    <x v="0"/>
    <n v="400001"/>
    <s v="India"/>
    <s v="Yes"/>
  </r>
  <r>
    <n v="248"/>
    <s v="ORD202500248"/>
    <s v="CUST4469"/>
    <x v="0"/>
    <n v="54"/>
    <x v="0"/>
    <s v="2025-01-22"/>
    <x v="10"/>
    <x v="1"/>
    <x v="1"/>
    <s v="SKU51610"/>
    <x v="4"/>
    <s v="M"/>
    <n v="5"/>
    <s v="INR"/>
    <n v="1887.31"/>
    <s v="Bengaluru"/>
    <x v="1"/>
    <n v="560001"/>
    <s v="India"/>
    <s v="Yes"/>
  </r>
  <r>
    <n v="249"/>
    <s v="ORD202500249"/>
    <s v="CUST7019"/>
    <x v="0"/>
    <n v="44"/>
    <x v="2"/>
    <s v="2025-11-23"/>
    <x v="6"/>
    <x v="2"/>
    <x v="1"/>
    <s v="SKU60796"/>
    <x v="1"/>
    <s v="S"/>
    <n v="2"/>
    <s v="INR"/>
    <n v="550.20000000000005"/>
    <s v="Bengaluru"/>
    <x v="1"/>
    <n v="560001"/>
    <s v="India"/>
    <s v="No"/>
  </r>
  <r>
    <n v="250"/>
    <s v="ORD202500250"/>
    <s v="CUST9694"/>
    <x v="0"/>
    <n v="59"/>
    <x v="0"/>
    <s v="2025-03-15"/>
    <x v="0"/>
    <x v="3"/>
    <x v="1"/>
    <s v="SKU17767"/>
    <x v="0"/>
    <s v="S"/>
    <n v="4"/>
    <s v="INR"/>
    <n v="2311.61"/>
    <s v="Jaipur"/>
    <x v="2"/>
    <n v="302001"/>
    <s v="India"/>
    <s v="No"/>
  </r>
  <r>
    <n v="251"/>
    <s v="ORD202500251"/>
    <s v="CUST2495"/>
    <x v="0"/>
    <n v="54"/>
    <x v="0"/>
    <s v="2025-06-27"/>
    <x v="3"/>
    <x v="3"/>
    <x v="1"/>
    <s v="SKU79319"/>
    <x v="3"/>
    <s v="M"/>
    <n v="4"/>
    <s v="INR"/>
    <n v="3758.77"/>
    <s v="Lucknow"/>
    <x v="4"/>
    <n v="226001"/>
    <s v="India"/>
    <s v="Yes"/>
  </r>
  <r>
    <n v="252"/>
    <s v="ORD202500252"/>
    <s v="CUST5067"/>
    <x v="0"/>
    <n v="45"/>
    <x v="2"/>
    <s v="2025-11-30"/>
    <x v="6"/>
    <x v="3"/>
    <x v="1"/>
    <s v="SKU66767"/>
    <x v="0"/>
    <s v="S"/>
    <n v="1"/>
    <s v="INR"/>
    <n v="3495.63"/>
    <s v="Bengaluru"/>
    <x v="1"/>
    <n v="560001"/>
    <s v="India"/>
    <s v="No"/>
  </r>
  <r>
    <n v="253"/>
    <s v="ORD202500253"/>
    <s v="CUST2247"/>
    <x v="0"/>
    <n v="33"/>
    <x v="2"/>
    <s v="2025-01-26"/>
    <x v="10"/>
    <x v="2"/>
    <x v="1"/>
    <s v="SKU87216"/>
    <x v="1"/>
    <s v="S"/>
    <n v="3"/>
    <s v="INR"/>
    <n v="1972.72"/>
    <s v="Delhi"/>
    <x v="3"/>
    <n v="110001"/>
    <s v="India"/>
    <s v="No"/>
  </r>
  <r>
    <n v="254"/>
    <s v="ORD202500254"/>
    <s v="CUST5345"/>
    <x v="0"/>
    <n v="52"/>
    <x v="0"/>
    <s v="2025-01-07"/>
    <x v="10"/>
    <x v="2"/>
    <x v="1"/>
    <s v="SKU55427"/>
    <x v="4"/>
    <s v="M"/>
    <n v="5"/>
    <s v="INR"/>
    <n v="1466.47"/>
    <s v="Mumbai"/>
    <x v="0"/>
    <n v="400001"/>
    <s v="India"/>
    <s v="Yes"/>
  </r>
  <r>
    <n v="255"/>
    <s v="ORD202500255"/>
    <s v="CUST1965"/>
    <x v="0"/>
    <n v="47"/>
    <x v="2"/>
    <s v="2025-03-09"/>
    <x v="0"/>
    <x v="2"/>
    <x v="1"/>
    <s v="SKU61301"/>
    <x v="1"/>
    <s v="L"/>
    <n v="1"/>
    <s v="INR"/>
    <n v="982.21"/>
    <s v="Lucknow"/>
    <x v="4"/>
    <n v="226001"/>
    <s v="India"/>
    <s v="Yes"/>
  </r>
  <r>
    <n v="256"/>
    <s v="ORD202500256"/>
    <s v="CUST8986"/>
    <x v="0"/>
    <n v="36"/>
    <x v="2"/>
    <s v="2025-02-26"/>
    <x v="8"/>
    <x v="2"/>
    <x v="1"/>
    <s v="SKU17779"/>
    <x v="4"/>
    <s v="M"/>
    <n v="3"/>
    <s v="INR"/>
    <n v="1141.49"/>
    <s v="Mumbai"/>
    <x v="0"/>
    <n v="400001"/>
    <s v="India"/>
    <s v="No"/>
  </r>
  <r>
    <n v="257"/>
    <s v="ORD202500257"/>
    <s v="CUST2452"/>
    <x v="0"/>
    <n v="39"/>
    <x v="2"/>
    <s v="2025-08-04"/>
    <x v="5"/>
    <x v="2"/>
    <x v="1"/>
    <s v="SKU41527"/>
    <x v="5"/>
    <s v="L"/>
    <n v="1"/>
    <s v="INR"/>
    <n v="4169.72"/>
    <s v="Lucknow"/>
    <x v="4"/>
    <n v="226001"/>
    <s v="India"/>
    <s v="Yes"/>
  </r>
  <r>
    <n v="258"/>
    <s v="ORD202500258"/>
    <s v="CUST1934"/>
    <x v="1"/>
    <n v="46"/>
    <x v="2"/>
    <s v="2025-09-19"/>
    <x v="7"/>
    <x v="2"/>
    <x v="1"/>
    <s v="SKU74393"/>
    <x v="0"/>
    <s v="S"/>
    <n v="2"/>
    <s v="INR"/>
    <n v="4145.3500000000004"/>
    <s v="Jaipur"/>
    <x v="2"/>
    <n v="302001"/>
    <s v="India"/>
    <s v="No"/>
  </r>
  <r>
    <n v="259"/>
    <s v="ORD202500259"/>
    <s v="CUST6081"/>
    <x v="0"/>
    <n v="42"/>
    <x v="2"/>
    <s v="2025-12-22"/>
    <x v="1"/>
    <x v="2"/>
    <x v="1"/>
    <s v="SKU78143"/>
    <x v="4"/>
    <s v="XL"/>
    <n v="5"/>
    <s v="INR"/>
    <n v="3829.96"/>
    <s v="Bengaluru"/>
    <x v="1"/>
    <n v="560001"/>
    <s v="India"/>
    <s v="Yes"/>
  </r>
  <r>
    <n v="260"/>
    <s v="ORD202500260"/>
    <s v="CUST5511"/>
    <x v="1"/>
    <n v="48"/>
    <x v="2"/>
    <s v="2025-11-05"/>
    <x v="6"/>
    <x v="2"/>
    <x v="1"/>
    <s v="SKU25328"/>
    <x v="3"/>
    <s v="L"/>
    <n v="4"/>
    <s v="INR"/>
    <n v="2535.0300000000002"/>
    <s v="Mumbai"/>
    <x v="0"/>
    <n v="400001"/>
    <s v="India"/>
    <s v="No"/>
  </r>
  <r>
    <n v="261"/>
    <s v="ORD202500261"/>
    <s v="CUST4929"/>
    <x v="1"/>
    <n v="34"/>
    <x v="2"/>
    <s v="2025-09-27"/>
    <x v="7"/>
    <x v="2"/>
    <x v="1"/>
    <s v="SKU36721"/>
    <x v="3"/>
    <s v="XL"/>
    <n v="1"/>
    <s v="INR"/>
    <n v="3020.91"/>
    <s v="Jaipur"/>
    <x v="2"/>
    <n v="302001"/>
    <s v="India"/>
    <s v="No"/>
  </r>
  <r>
    <n v="262"/>
    <s v="ORD202500262"/>
    <s v="CUST6597"/>
    <x v="0"/>
    <n v="38"/>
    <x v="2"/>
    <s v="2025-10-11"/>
    <x v="4"/>
    <x v="2"/>
    <x v="1"/>
    <s v="SKU61500"/>
    <x v="3"/>
    <s v="XL"/>
    <n v="5"/>
    <s v="INR"/>
    <n v="486.55"/>
    <s v="Bengaluru"/>
    <x v="1"/>
    <n v="560001"/>
    <s v="India"/>
    <s v="No"/>
  </r>
  <r>
    <n v="263"/>
    <s v="ORD202500263"/>
    <s v="CUST8473"/>
    <x v="0"/>
    <n v="57"/>
    <x v="0"/>
    <s v="2025-08-10"/>
    <x v="5"/>
    <x v="2"/>
    <x v="1"/>
    <s v="SKU73964"/>
    <x v="1"/>
    <s v="S"/>
    <n v="5"/>
    <s v="INR"/>
    <n v="2491.4299999999998"/>
    <s v="Delhi"/>
    <x v="3"/>
    <n v="110001"/>
    <s v="India"/>
    <s v="Yes"/>
  </r>
  <r>
    <n v="264"/>
    <s v="ORD202500264"/>
    <s v="CUST2514"/>
    <x v="1"/>
    <n v="46"/>
    <x v="2"/>
    <s v="2025-08-23"/>
    <x v="5"/>
    <x v="2"/>
    <x v="1"/>
    <s v="SKU86718"/>
    <x v="4"/>
    <s v="S"/>
    <n v="3"/>
    <s v="INR"/>
    <n v="3999.48"/>
    <s v="Bengaluru"/>
    <x v="1"/>
    <n v="560001"/>
    <s v="India"/>
    <s v="No"/>
  </r>
  <r>
    <n v="265"/>
    <s v="ORD202500265"/>
    <s v="CUST7163"/>
    <x v="0"/>
    <n v="43"/>
    <x v="2"/>
    <s v="2025-03-16"/>
    <x v="0"/>
    <x v="2"/>
    <x v="1"/>
    <s v="SKU90735"/>
    <x v="5"/>
    <s v="M"/>
    <n v="3"/>
    <s v="INR"/>
    <n v="398.13"/>
    <s v="Lucknow"/>
    <x v="4"/>
    <n v="226001"/>
    <s v="India"/>
    <s v="No"/>
  </r>
  <r>
    <n v="266"/>
    <s v="ORD202500266"/>
    <s v="CUST5819"/>
    <x v="0"/>
    <n v="54"/>
    <x v="0"/>
    <s v="2025-08-03"/>
    <x v="5"/>
    <x v="2"/>
    <x v="1"/>
    <s v="SKU70208"/>
    <x v="4"/>
    <s v="S"/>
    <n v="2"/>
    <s v="INR"/>
    <n v="2574.1"/>
    <s v="Jaipur"/>
    <x v="2"/>
    <n v="302001"/>
    <s v="India"/>
    <s v="Yes"/>
  </r>
  <r>
    <n v="267"/>
    <s v="ORD202500267"/>
    <s v="CUST6621"/>
    <x v="0"/>
    <n v="54"/>
    <x v="0"/>
    <s v="2025-03-09"/>
    <x v="0"/>
    <x v="2"/>
    <x v="1"/>
    <s v="SKU53988"/>
    <x v="2"/>
    <s v="XL"/>
    <n v="1"/>
    <s v="INR"/>
    <n v="2785.14"/>
    <s v="Bengaluru"/>
    <x v="1"/>
    <n v="560001"/>
    <s v="India"/>
    <s v="No"/>
  </r>
  <r>
    <n v="268"/>
    <s v="ORD202500268"/>
    <s v="CUST8827"/>
    <x v="0"/>
    <n v="56"/>
    <x v="0"/>
    <s v="2025-09-19"/>
    <x v="7"/>
    <x v="2"/>
    <x v="1"/>
    <s v="SKU39239"/>
    <x v="5"/>
    <s v="S"/>
    <n v="5"/>
    <s v="INR"/>
    <n v="3385.28"/>
    <s v="Delhi"/>
    <x v="3"/>
    <n v="110001"/>
    <s v="India"/>
    <s v="Yes"/>
  </r>
  <r>
    <n v="269"/>
    <s v="ORD202500269"/>
    <s v="CUST8370"/>
    <x v="0"/>
    <n v="41"/>
    <x v="2"/>
    <s v="2025-12-17"/>
    <x v="1"/>
    <x v="2"/>
    <x v="1"/>
    <s v="SKU63238"/>
    <x v="1"/>
    <s v="XL"/>
    <n v="5"/>
    <s v="INR"/>
    <n v="2842.68"/>
    <s v="Delhi"/>
    <x v="3"/>
    <n v="110001"/>
    <s v="India"/>
    <s v="No"/>
  </r>
  <r>
    <n v="270"/>
    <s v="ORD202500270"/>
    <s v="CUST8920"/>
    <x v="1"/>
    <n v="49"/>
    <x v="2"/>
    <s v="2025-05-22"/>
    <x v="2"/>
    <x v="2"/>
    <x v="1"/>
    <s v="SKU32366"/>
    <x v="5"/>
    <s v="M"/>
    <n v="5"/>
    <s v="INR"/>
    <n v="898.19"/>
    <s v="Mumbai"/>
    <x v="0"/>
    <n v="400001"/>
    <s v="India"/>
    <s v="No"/>
  </r>
  <r>
    <n v="271"/>
    <s v="ORD202500271"/>
    <s v="CUST4093"/>
    <x v="0"/>
    <n v="27"/>
    <x v="1"/>
    <s v="2025-12-10"/>
    <x v="1"/>
    <x v="2"/>
    <x v="1"/>
    <s v="SKU86991"/>
    <x v="2"/>
    <s v="XL"/>
    <n v="5"/>
    <s v="INR"/>
    <n v="4869.47"/>
    <s v="Jaipur"/>
    <x v="2"/>
    <n v="302001"/>
    <s v="India"/>
    <s v="Yes"/>
  </r>
  <r>
    <n v="272"/>
    <s v="ORD202500272"/>
    <s v="CUST6971"/>
    <x v="0"/>
    <n v="39"/>
    <x v="2"/>
    <s v="2025-10-14"/>
    <x v="4"/>
    <x v="2"/>
    <x v="1"/>
    <s v="SKU34520"/>
    <x v="5"/>
    <s v="XL"/>
    <n v="2"/>
    <s v="INR"/>
    <n v="2723.81"/>
    <s v="Jaipur"/>
    <x v="2"/>
    <n v="302001"/>
    <s v="India"/>
    <s v="Yes"/>
  </r>
  <r>
    <n v="273"/>
    <s v="ORD202500273"/>
    <s v="CUST1753"/>
    <x v="1"/>
    <n v="51"/>
    <x v="0"/>
    <s v="2025-09-07"/>
    <x v="7"/>
    <x v="2"/>
    <x v="1"/>
    <s v="SKU57343"/>
    <x v="2"/>
    <s v="XL"/>
    <n v="3"/>
    <s v="INR"/>
    <n v="4170.9399999999996"/>
    <s v="Lucknow"/>
    <x v="4"/>
    <n v="226001"/>
    <s v="India"/>
    <s v="Yes"/>
  </r>
  <r>
    <n v="274"/>
    <s v="ORD202500274"/>
    <s v="CUST3900"/>
    <x v="0"/>
    <n v="43"/>
    <x v="2"/>
    <s v="2025-12-23"/>
    <x v="1"/>
    <x v="2"/>
    <x v="1"/>
    <s v="SKU11975"/>
    <x v="5"/>
    <s v="L"/>
    <n v="4"/>
    <s v="INR"/>
    <n v="905.77"/>
    <s v="Jaipur"/>
    <x v="2"/>
    <n v="302001"/>
    <s v="India"/>
    <s v="Yes"/>
  </r>
  <r>
    <n v="275"/>
    <s v="ORD202500275"/>
    <s v="CUST8709"/>
    <x v="0"/>
    <n v="28"/>
    <x v="1"/>
    <s v="2025-04-15"/>
    <x v="11"/>
    <x v="2"/>
    <x v="1"/>
    <s v="SKU97344"/>
    <x v="0"/>
    <s v="M"/>
    <n v="3"/>
    <s v="INR"/>
    <n v="906.3"/>
    <s v="Lucknow"/>
    <x v="4"/>
    <n v="226001"/>
    <s v="India"/>
    <s v="Yes"/>
  </r>
  <r>
    <n v="276"/>
    <s v="ORD202500276"/>
    <s v="CUST3999"/>
    <x v="0"/>
    <n v="34"/>
    <x v="2"/>
    <s v="2025-01-31"/>
    <x v="10"/>
    <x v="2"/>
    <x v="1"/>
    <s v="SKU10015"/>
    <x v="2"/>
    <s v="S"/>
    <n v="3"/>
    <s v="INR"/>
    <n v="3588.73"/>
    <s v="Mumbai"/>
    <x v="0"/>
    <n v="400001"/>
    <s v="India"/>
    <s v="Yes"/>
  </r>
  <r>
    <n v="277"/>
    <s v="ORD202500277"/>
    <s v="CUST6670"/>
    <x v="0"/>
    <n v="39"/>
    <x v="2"/>
    <s v="2025-09-18"/>
    <x v="7"/>
    <x v="2"/>
    <x v="1"/>
    <s v="SKU76621"/>
    <x v="0"/>
    <s v="L"/>
    <n v="4"/>
    <s v="INR"/>
    <n v="3837.38"/>
    <s v="Lucknow"/>
    <x v="4"/>
    <n v="226001"/>
    <s v="India"/>
    <s v="No"/>
  </r>
  <r>
    <n v="278"/>
    <s v="ORD202500278"/>
    <s v="CUST5111"/>
    <x v="1"/>
    <n v="24"/>
    <x v="1"/>
    <s v="2025-09-28"/>
    <x v="7"/>
    <x v="2"/>
    <x v="1"/>
    <s v="SKU76569"/>
    <x v="5"/>
    <s v="S"/>
    <n v="5"/>
    <s v="INR"/>
    <n v="1637.6"/>
    <s v="Bengaluru"/>
    <x v="1"/>
    <n v="560001"/>
    <s v="India"/>
    <s v="Yes"/>
  </r>
  <r>
    <n v="279"/>
    <s v="ORD202500279"/>
    <s v="CUST4059"/>
    <x v="1"/>
    <n v="34"/>
    <x v="2"/>
    <s v="2025-01-24"/>
    <x v="10"/>
    <x v="2"/>
    <x v="1"/>
    <s v="SKU71443"/>
    <x v="2"/>
    <s v="XL"/>
    <n v="3"/>
    <s v="INR"/>
    <n v="2953.16"/>
    <s v="Bengaluru"/>
    <x v="1"/>
    <n v="560001"/>
    <s v="India"/>
    <s v="Yes"/>
  </r>
  <r>
    <n v="280"/>
    <s v="ORD202500280"/>
    <s v="CUST5122"/>
    <x v="0"/>
    <n v="49"/>
    <x v="2"/>
    <s v="2025-05-11"/>
    <x v="2"/>
    <x v="2"/>
    <x v="1"/>
    <s v="SKU16136"/>
    <x v="4"/>
    <s v="S"/>
    <n v="1"/>
    <s v="INR"/>
    <n v="2748.98"/>
    <s v="Lucknow"/>
    <x v="4"/>
    <n v="226001"/>
    <s v="India"/>
    <s v="Yes"/>
  </r>
  <r>
    <n v="281"/>
    <s v="ORD202500281"/>
    <s v="CUST3861"/>
    <x v="1"/>
    <n v="41"/>
    <x v="2"/>
    <s v="2025-04-16"/>
    <x v="11"/>
    <x v="2"/>
    <x v="1"/>
    <s v="SKU94836"/>
    <x v="5"/>
    <s v="XL"/>
    <n v="3"/>
    <s v="INR"/>
    <n v="4733.3500000000004"/>
    <s v="Mumbai"/>
    <x v="0"/>
    <n v="400001"/>
    <s v="India"/>
    <s v="Yes"/>
  </r>
  <r>
    <n v="282"/>
    <s v="ORD202500282"/>
    <s v="CUST8216"/>
    <x v="0"/>
    <n v="53"/>
    <x v="0"/>
    <s v="2025-03-18"/>
    <x v="0"/>
    <x v="2"/>
    <x v="1"/>
    <s v="SKU62511"/>
    <x v="3"/>
    <s v="XL"/>
    <n v="2"/>
    <s v="INR"/>
    <n v="2752.73"/>
    <s v="Lucknow"/>
    <x v="4"/>
    <n v="226001"/>
    <s v="India"/>
    <s v="No"/>
  </r>
  <r>
    <n v="283"/>
    <s v="ORD202500283"/>
    <s v="CUST9228"/>
    <x v="0"/>
    <n v="20"/>
    <x v="1"/>
    <s v="2025-01-27"/>
    <x v="10"/>
    <x v="2"/>
    <x v="1"/>
    <s v="SKU66922"/>
    <x v="1"/>
    <s v="S"/>
    <n v="2"/>
    <s v="INR"/>
    <n v="4343.13"/>
    <s v="Jaipur"/>
    <x v="2"/>
    <n v="302001"/>
    <s v="India"/>
    <s v="Yes"/>
  </r>
  <r>
    <n v="284"/>
    <s v="ORD202500284"/>
    <s v="CUST9939"/>
    <x v="0"/>
    <n v="32"/>
    <x v="2"/>
    <s v="2025-10-18"/>
    <x v="4"/>
    <x v="2"/>
    <x v="1"/>
    <s v="SKU33596"/>
    <x v="1"/>
    <s v="M"/>
    <n v="3"/>
    <s v="INR"/>
    <n v="4244.4799999999996"/>
    <s v="Bengaluru"/>
    <x v="1"/>
    <n v="560001"/>
    <s v="India"/>
    <s v="No"/>
  </r>
  <r>
    <n v="285"/>
    <s v="ORD202500285"/>
    <s v="CUST8590"/>
    <x v="0"/>
    <n v="53"/>
    <x v="0"/>
    <s v="2025-08-14"/>
    <x v="5"/>
    <x v="2"/>
    <x v="1"/>
    <s v="SKU14621"/>
    <x v="4"/>
    <s v="M"/>
    <n v="2"/>
    <s v="INR"/>
    <n v="3363.15"/>
    <s v="Lucknow"/>
    <x v="4"/>
    <n v="226001"/>
    <s v="India"/>
    <s v="No"/>
  </r>
  <r>
    <n v="286"/>
    <s v="ORD202500286"/>
    <s v="CUST2733"/>
    <x v="1"/>
    <n v="45"/>
    <x v="2"/>
    <s v="2025-09-25"/>
    <x v="7"/>
    <x v="2"/>
    <x v="1"/>
    <s v="SKU71317"/>
    <x v="3"/>
    <s v="L"/>
    <n v="4"/>
    <s v="INR"/>
    <n v="2193.37"/>
    <s v="Lucknow"/>
    <x v="4"/>
    <n v="226001"/>
    <s v="India"/>
    <s v="No"/>
  </r>
  <r>
    <n v="287"/>
    <s v="ORD202500287"/>
    <s v="CUST2768"/>
    <x v="1"/>
    <n v="28"/>
    <x v="1"/>
    <s v="2025-10-14"/>
    <x v="4"/>
    <x v="2"/>
    <x v="1"/>
    <s v="SKU67946"/>
    <x v="5"/>
    <s v="L"/>
    <n v="1"/>
    <s v="INR"/>
    <n v="2445.21"/>
    <s v="Mumbai"/>
    <x v="0"/>
    <n v="400001"/>
    <s v="India"/>
    <s v="No"/>
  </r>
  <r>
    <n v="288"/>
    <s v="ORD202500288"/>
    <s v="CUST3447"/>
    <x v="0"/>
    <n v="30"/>
    <x v="2"/>
    <s v="2025-01-15"/>
    <x v="10"/>
    <x v="2"/>
    <x v="1"/>
    <s v="SKU90088"/>
    <x v="1"/>
    <s v="L"/>
    <n v="2"/>
    <s v="INR"/>
    <n v="4866.3900000000003"/>
    <s v="Delhi"/>
    <x v="3"/>
    <n v="110001"/>
    <s v="India"/>
    <s v="Yes"/>
  </r>
  <r>
    <n v="289"/>
    <s v="ORD202500289"/>
    <s v="CUST8624"/>
    <x v="0"/>
    <n v="36"/>
    <x v="2"/>
    <s v="2025-03-11"/>
    <x v="0"/>
    <x v="2"/>
    <x v="1"/>
    <s v="SKU87188"/>
    <x v="2"/>
    <s v="L"/>
    <n v="2"/>
    <s v="INR"/>
    <n v="3367.15"/>
    <s v="Mumbai"/>
    <x v="0"/>
    <n v="400001"/>
    <s v="India"/>
    <s v="No"/>
  </r>
  <r>
    <n v="290"/>
    <s v="ORD202500290"/>
    <s v="CUST9487"/>
    <x v="0"/>
    <n v="52"/>
    <x v="0"/>
    <s v="2025-03-24"/>
    <x v="0"/>
    <x v="2"/>
    <x v="1"/>
    <s v="SKU80682"/>
    <x v="5"/>
    <s v="S"/>
    <n v="2"/>
    <s v="INR"/>
    <n v="2865.38"/>
    <s v="Mumbai"/>
    <x v="0"/>
    <n v="400001"/>
    <s v="India"/>
    <s v="Yes"/>
  </r>
  <r>
    <n v="291"/>
    <s v="ORD202500291"/>
    <s v="CUST8573"/>
    <x v="1"/>
    <n v="38"/>
    <x v="2"/>
    <s v="2025-12-13"/>
    <x v="1"/>
    <x v="2"/>
    <x v="1"/>
    <s v="SKU38898"/>
    <x v="1"/>
    <s v="S"/>
    <n v="1"/>
    <s v="INR"/>
    <n v="2192.67"/>
    <s v="Bengaluru"/>
    <x v="1"/>
    <n v="560001"/>
    <s v="India"/>
    <s v="Yes"/>
  </r>
  <r>
    <n v="292"/>
    <s v="ORD202500292"/>
    <s v="CUST8748"/>
    <x v="1"/>
    <n v="52"/>
    <x v="0"/>
    <s v="2025-01-19"/>
    <x v="10"/>
    <x v="2"/>
    <x v="1"/>
    <s v="SKU49756"/>
    <x v="2"/>
    <s v="S"/>
    <n v="2"/>
    <s v="INR"/>
    <n v="1165.71"/>
    <s v="Jaipur"/>
    <x v="2"/>
    <n v="302001"/>
    <s v="India"/>
    <s v="Yes"/>
  </r>
  <r>
    <n v="293"/>
    <s v="ORD202500293"/>
    <s v="CUST5517"/>
    <x v="0"/>
    <n v="28"/>
    <x v="1"/>
    <s v="2025-01-13"/>
    <x v="10"/>
    <x v="2"/>
    <x v="1"/>
    <s v="SKU64503"/>
    <x v="2"/>
    <s v="XL"/>
    <n v="3"/>
    <s v="INR"/>
    <n v="2181.58"/>
    <s v="Mumbai"/>
    <x v="0"/>
    <n v="400001"/>
    <s v="India"/>
    <s v="No"/>
  </r>
  <r>
    <n v="294"/>
    <s v="ORD202500294"/>
    <s v="CUST1880"/>
    <x v="0"/>
    <n v="30"/>
    <x v="2"/>
    <s v="2025-01-19"/>
    <x v="10"/>
    <x v="2"/>
    <x v="1"/>
    <s v="SKU39643"/>
    <x v="3"/>
    <s v="XL"/>
    <n v="2"/>
    <s v="INR"/>
    <n v="979.52"/>
    <s v="Delhi"/>
    <x v="3"/>
    <n v="110001"/>
    <s v="India"/>
    <s v="Yes"/>
  </r>
  <r>
    <n v="295"/>
    <s v="ORD202500295"/>
    <s v="CUST4748"/>
    <x v="0"/>
    <n v="24"/>
    <x v="1"/>
    <s v="2025-11-02"/>
    <x v="6"/>
    <x v="2"/>
    <x v="1"/>
    <s v="SKU57472"/>
    <x v="2"/>
    <s v="XL"/>
    <n v="5"/>
    <s v="INR"/>
    <n v="4388.7700000000004"/>
    <s v="Delhi"/>
    <x v="3"/>
    <n v="110001"/>
    <s v="India"/>
    <s v="No"/>
  </r>
  <r>
    <n v="296"/>
    <s v="ORD202500296"/>
    <s v="CUST2904"/>
    <x v="1"/>
    <n v="34"/>
    <x v="2"/>
    <s v="2025-04-16"/>
    <x v="11"/>
    <x v="2"/>
    <x v="1"/>
    <s v="SKU48681"/>
    <x v="2"/>
    <s v="L"/>
    <n v="4"/>
    <s v="INR"/>
    <n v="2784.39"/>
    <s v="Lucknow"/>
    <x v="4"/>
    <n v="226001"/>
    <s v="India"/>
    <s v="No"/>
  </r>
  <r>
    <n v="297"/>
    <s v="ORD202500297"/>
    <s v="CUST1968"/>
    <x v="0"/>
    <n v="26"/>
    <x v="1"/>
    <s v="2025-11-22"/>
    <x v="6"/>
    <x v="2"/>
    <x v="1"/>
    <s v="SKU89999"/>
    <x v="2"/>
    <s v="S"/>
    <n v="1"/>
    <s v="INR"/>
    <n v="2719.57"/>
    <s v="Bengaluru"/>
    <x v="1"/>
    <n v="560001"/>
    <s v="India"/>
    <s v="No"/>
  </r>
  <r>
    <n v="298"/>
    <s v="ORD202500298"/>
    <s v="CUST7699"/>
    <x v="1"/>
    <n v="36"/>
    <x v="2"/>
    <s v="2025-10-08"/>
    <x v="4"/>
    <x v="2"/>
    <x v="1"/>
    <s v="SKU94855"/>
    <x v="1"/>
    <s v="XL"/>
    <n v="5"/>
    <s v="INR"/>
    <n v="4739.66"/>
    <s v="Lucknow"/>
    <x v="4"/>
    <n v="226001"/>
    <s v="India"/>
    <s v="No"/>
  </r>
  <r>
    <n v="299"/>
    <s v="ORD202500299"/>
    <s v="CUST7625"/>
    <x v="1"/>
    <n v="39"/>
    <x v="2"/>
    <s v="2025-06-14"/>
    <x v="3"/>
    <x v="2"/>
    <x v="1"/>
    <s v="SKU18449"/>
    <x v="4"/>
    <s v="S"/>
    <n v="5"/>
    <s v="INR"/>
    <n v="310.45999999999998"/>
    <s v="Bengaluru"/>
    <x v="1"/>
    <n v="560001"/>
    <s v="India"/>
    <s v="Yes"/>
  </r>
  <r>
    <n v="300"/>
    <s v="ORD202500300"/>
    <s v="CUST4298"/>
    <x v="0"/>
    <n v="53"/>
    <x v="0"/>
    <s v="2025-01-01"/>
    <x v="10"/>
    <x v="2"/>
    <x v="1"/>
    <s v="SKU82134"/>
    <x v="3"/>
    <s v="L"/>
    <n v="1"/>
    <s v="INR"/>
    <n v="2470.48"/>
    <s v="Lucknow"/>
    <x v="4"/>
    <n v="226001"/>
    <s v="India"/>
    <s v="No"/>
  </r>
  <r>
    <n v="301"/>
    <s v="ORD202500301"/>
    <s v="CUST7154"/>
    <x v="1"/>
    <n v="51"/>
    <x v="0"/>
    <s v="2025-01-03"/>
    <x v="10"/>
    <x v="2"/>
    <x v="1"/>
    <s v="SKU56087"/>
    <x v="5"/>
    <s v="S"/>
    <n v="4"/>
    <s v="INR"/>
    <n v="2898.14"/>
    <s v="Delhi"/>
    <x v="3"/>
    <n v="110001"/>
    <s v="India"/>
    <s v="No"/>
  </r>
  <r>
    <n v="302"/>
    <s v="ORD202500302"/>
    <s v="CUST5023"/>
    <x v="1"/>
    <n v="39"/>
    <x v="2"/>
    <s v="2025-05-09"/>
    <x v="2"/>
    <x v="2"/>
    <x v="1"/>
    <s v="SKU68355"/>
    <x v="0"/>
    <s v="M"/>
    <n v="3"/>
    <s v="INR"/>
    <n v="2920.63"/>
    <s v="Bengaluru"/>
    <x v="1"/>
    <n v="560001"/>
    <s v="India"/>
    <s v="No"/>
  </r>
  <r>
    <n v="303"/>
    <s v="ORD202500303"/>
    <s v="CUST2338"/>
    <x v="0"/>
    <n v="53"/>
    <x v="0"/>
    <s v="2025-12-01"/>
    <x v="1"/>
    <x v="2"/>
    <x v="1"/>
    <s v="SKU24260"/>
    <x v="4"/>
    <s v="L"/>
    <n v="4"/>
    <s v="INR"/>
    <n v="4975.21"/>
    <s v="Delhi"/>
    <x v="3"/>
    <n v="110001"/>
    <s v="India"/>
    <s v="No"/>
  </r>
  <r>
    <n v="304"/>
    <s v="ORD202500304"/>
    <s v="CUST1255"/>
    <x v="1"/>
    <n v="30"/>
    <x v="2"/>
    <s v="2025-03-02"/>
    <x v="0"/>
    <x v="2"/>
    <x v="1"/>
    <s v="SKU59751"/>
    <x v="1"/>
    <s v="M"/>
    <n v="3"/>
    <s v="INR"/>
    <n v="3600.1"/>
    <s v="Lucknow"/>
    <x v="4"/>
    <n v="226001"/>
    <s v="India"/>
    <s v="No"/>
  </r>
  <r>
    <n v="305"/>
    <s v="ORD202500305"/>
    <s v="CUST5118"/>
    <x v="0"/>
    <n v="42"/>
    <x v="2"/>
    <s v="2025-08-02"/>
    <x v="5"/>
    <x v="2"/>
    <x v="1"/>
    <s v="SKU91245"/>
    <x v="2"/>
    <s v="XL"/>
    <n v="1"/>
    <s v="INR"/>
    <n v="4806.17"/>
    <s v="Lucknow"/>
    <x v="4"/>
    <n v="226001"/>
    <s v="India"/>
    <s v="No"/>
  </r>
  <r>
    <n v="306"/>
    <s v="ORD202500306"/>
    <s v="CUST8302"/>
    <x v="0"/>
    <n v="41"/>
    <x v="2"/>
    <s v="2025-11-09"/>
    <x v="6"/>
    <x v="2"/>
    <x v="1"/>
    <s v="SKU58708"/>
    <x v="2"/>
    <s v="M"/>
    <n v="3"/>
    <s v="INR"/>
    <n v="2226.2600000000002"/>
    <s v="Jaipur"/>
    <x v="2"/>
    <n v="302001"/>
    <s v="India"/>
    <s v="Yes"/>
  </r>
  <r>
    <n v="307"/>
    <s v="ORD202500307"/>
    <s v="CUST2556"/>
    <x v="1"/>
    <n v="34"/>
    <x v="2"/>
    <s v="2025-12-05"/>
    <x v="1"/>
    <x v="2"/>
    <x v="1"/>
    <s v="SKU40794"/>
    <x v="5"/>
    <s v="XL"/>
    <n v="4"/>
    <s v="INR"/>
    <n v="2869.36"/>
    <s v="Delhi"/>
    <x v="3"/>
    <n v="110001"/>
    <s v="India"/>
    <s v="Yes"/>
  </r>
  <r>
    <n v="308"/>
    <s v="ORD202500308"/>
    <s v="CUST2779"/>
    <x v="0"/>
    <n v="52"/>
    <x v="0"/>
    <s v="2025-08-14"/>
    <x v="5"/>
    <x v="2"/>
    <x v="1"/>
    <s v="SKU95547"/>
    <x v="2"/>
    <s v="L"/>
    <n v="1"/>
    <s v="INR"/>
    <n v="1505.38"/>
    <s v="Mumbai"/>
    <x v="0"/>
    <n v="400001"/>
    <s v="India"/>
    <s v="No"/>
  </r>
  <r>
    <n v="309"/>
    <s v="ORD202500309"/>
    <s v="CUST9845"/>
    <x v="1"/>
    <n v="40"/>
    <x v="2"/>
    <s v="2025-01-24"/>
    <x v="10"/>
    <x v="2"/>
    <x v="1"/>
    <s v="SKU37296"/>
    <x v="3"/>
    <s v="M"/>
    <n v="3"/>
    <s v="INR"/>
    <n v="2418.86"/>
    <s v="Jaipur"/>
    <x v="2"/>
    <n v="302001"/>
    <s v="India"/>
    <s v="Yes"/>
  </r>
  <r>
    <n v="310"/>
    <s v="ORD202500310"/>
    <s v="CUST6059"/>
    <x v="1"/>
    <n v="23"/>
    <x v="1"/>
    <s v="2025-03-30"/>
    <x v="0"/>
    <x v="2"/>
    <x v="1"/>
    <s v="SKU98509"/>
    <x v="2"/>
    <s v="M"/>
    <n v="5"/>
    <s v="INR"/>
    <n v="3824.43"/>
    <s v="Lucknow"/>
    <x v="4"/>
    <n v="226001"/>
    <s v="India"/>
    <s v="Yes"/>
  </r>
  <r>
    <n v="311"/>
    <s v="ORD202500311"/>
    <s v="CUST2131"/>
    <x v="1"/>
    <n v="31"/>
    <x v="2"/>
    <s v="2025-08-20"/>
    <x v="5"/>
    <x v="2"/>
    <x v="1"/>
    <s v="SKU62902"/>
    <x v="0"/>
    <s v="S"/>
    <n v="5"/>
    <s v="INR"/>
    <n v="1962.18"/>
    <s v="Mumbai"/>
    <x v="0"/>
    <n v="400001"/>
    <s v="India"/>
    <s v="Yes"/>
  </r>
  <r>
    <n v="312"/>
    <s v="ORD202500312"/>
    <s v="CUST3449"/>
    <x v="1"/>
    <n v="44"/>
    <x v="2"/>
    <s v="2025-08-20"/>
    <x v="5"/>
    <x v="2"/>
    <x v="1"/>
    <s v="SKU53070"/>
    <x v="4"/>
    <s v="S"/>
    <n v="1"/>
    <s v="INR"/>
    <n v="3569.63"/>
    <s v="Jaipur"/>
    <x v="2"/>
    <n v="302001"/>
    <s v="India"/>
    <s v="No"/>
  </r>
  <r>
    <n v="313"/>
    <s v="ORD202500313"/>
    <s v="CUST2968"/>
    <x v="0"/>
    <n v="40"/>
    <x v="2"/>
    <s v="2025-11-07"/>
    <x v="6"/>
    <x v="2"/>
    <x v="1"/>
    <s v="SKU31857"/>
    <x v="1"/>
    <s v="S"/>
    <n v="3"/>
    <s v="INR"/>
    <n v="4641.97"/>
    <s v="Lucknow"/>
    <x v="4"/>
    <n v="226001"/>
    <s v="India"/>
    <s v="Yes"/>
  </r>
  <r>
    <n v="314"/>
    <s v="ORD202500314"/>
    <s v="CUST9863"/>
    <x v="0"/>
    <n v="32"/>
    <x v="2"/>
    <s v="2025-11-24"/>
    <x v="6"/>
    <x v="2"/>
    <x v="1"/>
    <s v="SKU29990"/>
    <x v="3"/>
    <s v="L"/>
    <n v="3"/>
    <s v="INR"/>
    <n v="702.03"/>
    <s v="Delhi"/>
    <x v="3"/>
    <n v="110001"/>
    <s v="India"/>
    <s v="No"/>
  </r>
  <r>
    <n v="315"/>
    <s v="ORD202500315"/>
    <s v="CUST2840"/>
    <x v="0"/>
    <n v="26"/>
    <x v="1"/>
    <s v="2025-02-23"/>
    <x v="8"/>
    <x v="2"/>
    <x v="1"/>
    <s v="SKU43726"/>
    <x v="0"/>
    <s v="S"/>
    <n v="4"/>
    <s v="INR"/>
    <n v="3396.56"/>
    <s v="Bengaluru"/>
    <x v="1"/>
    <n v="560001"/>
    <s v="India"/>
    <s v="Yes"/>
  </r>
  <r>
    <n v="316"/>
    <s v="ORD202500316"/>
    <s v="CUST6709"/>
    <x v="0"/>
    <n v="30"/>
    <x v="2"/>
    <s v="2025-12-14"/>
    <x v="1"/>
    <x v="2"/>
    <x v="1"/>
    <s v="SKU62236"/>
    <x v="1"/>
    <s v="L"/>
    <n v="3"/>
    <s v="INR"/>
    <n v="378.66"/>
    <s v="Jaipur"/>
    <x v="2"/>
    <n v="302001"/>
    <s v="India"/>
    <s v="Yes"/>
  </r>
  <r>
    <n v="317"/>
    <s v="ORD202500317"/>
    <s v="CUST6522"/>
    <x v="0"/>
    <n v="42"/>
    <x v="2"/>
    <s v="2025-11-28"/>
    <x v="6"/>
    <x v="2"/>
    <x v="1"/>
    <s v="SKU25956"/>
    <x v="2"/>
    <s v="M"/>
    <n v="3"/>
    <s v="INR"/>
    <n v="4047.58"/>
    <s v="Delhi"/>
    <x v="3"/>
    <n v="110001"/>
    <s v="India"/>
    <s v="Yes"/>
  </r>
  <r>
    <n v="318"/>
    <s v="ORD202500318"/>
    <s v="CUST7769"/>
    <x v="1"/>
    <n v="28"/>
    <x v="1"/>
    <s v="2025-05-29"/>
    <x v="2"/>
    <x v="2"/>
    <x v="1"/>
    <s v="SKU38578"/>
    <x v="4"/>
    <s v="M"/>
    <n v="4"/>
    <s v="INR"/>
    <n v="1574.43"/>
    <s v="Lucknow"/>
    <x v="4"/>
    <n v="226001"/>
    <s v="India"/>
    <s v="No"/>
  </r>
  <r>
    <n v="319"/>
    <s v="ORD202500319"/>
    <s v="CUST1475"/>
    <x v="0"/>
    <n v="52"/>
    <x v="0"/>
    <s v="2025-09-10"/>
    <x v="7"/>
    <x v="2"/>
    <x v="1"/>
    <s v="SKU15929"/>
    <x v="5"/>
    <s v="S"/>
    <n v="5"/>
    <s v="INR"/>
    <n v="4844.82"/>
    <s v="Lucknow"/>
    <x v="4"/>
    <n v="226001"/>
    <s v="India"/>
    <s v="Yes"/>
  </r>
  <r>
    <n v="320"/>
    <s v="ORD202500320"/>
    <s v="CUST6539"/>
    <x v="1"/>
    <n v="27"/>
    <x v="1"/>
    <s v="2025-09-07"/>
    <x v="7"/>
    <x v="2"/>
    <x v="1"/>
    <s v="SKU52878"/>
    <x v="1"/>
    <s v="L"/>
    <n v="1"/>
    <s v="INR"/>
    <n v="760.19"/>
    <s v="Bengaluru"/>
    <x v="1"/>
    <n v="560001"/>
    <s v="India"/>
    <s v="No"/>
  </r>
  <r>
    <n v="321"/>
    <s v="ORD202500321"/>
    <s v="CUST2006"/>
    <x v="0"/>
    <n v="32"/>
    <x v="2"/>
    <s v="2025-05-09"/>
    <x v="2"/>
    <x v="2"/>
    <x v="1"/>
    <s v="SKU63351"/>
    <x v="3"/>
    <s v="M"/>
    <n v="1"/>
    <s v="INR"/>
    <n v="4862.71"/>
    <s v="Lucknow"/>
    <x v="4"/>
    <n v="226001"/>
    <s v="India"/>
    <s v="Yes"/>
  </r>
  <r>
    <n v="322"/>
    <s v="ORD202500322"/>
    <s v="CUST3440"/>
    <x v="0"/>
    <n v="19"/>
    <x v="1"/>
    <s v="2025-06-16"/>
    <x v="3"/>
    <x v="2"/>
    <x v="1"/>
    <s v="SKU33868"/>
    <x v="5"/>
    <s v="S"/>
    <n v="4"/>
    <s v="INR"/>
    <n v="1536.24"/>
    <s v="Jaipur"/>
    <x v="2"/>
    <n v="302001"/>
    <s v="India"/>
    <s v="Yes"/>
  </r>
  <r>
    <n v="323"/>
    <s v="ORD202500323"/>
    <s v="CUST2121"/>
    <x v="0"/>
    <n v="18"/>
    <x v="1"/>
    <s v="2025-11-11"/>
    <x v="6"/>
    <x v="2"/>
    <x v="1"/>
    <s v="SKU39035"/>
    <x v="0"/>
    <s v="S"/>
    <n v="2"/>
    <s v="INR"/>
    <n v="1062.25"/>
    <s v="Jaipur"/>
    <x v="2"/>
    <n v="302001"/>
    <s v="India"/>
    <s v="Yes"/>
  </r>
  <r>
    <n v="324"/>
    <s v="ORD202500324"/>
    <s v="CUST6637"/>
    <x v="1"/>
    <n v="55"/>
    <x v="0"/>
    <s v="2025-10-03"/>
    <x v="4"/>
    <x v="2"/>
    <x v="5"/>
    <s v="SKU50543"/>
    <x v="4"/>
    <s v="M"/>
    <n v="5"/>
    <s v="INR"/>
    <n v="2518.56"/>
    <s v="Mumbai"/>
    <x v="0"/>
    <n v="400001"/>
    <s v="India"/>
    <s v="No"/>
  </r>
  <r>
    <n v="325"/>
    <s v="ORD202500325"/>
    <s v="CUST8086"/>
    <x v="0"/>
    <n v="36"/>
    <x v="2"/>
    <s v="2025-04-09"/>
    <x v="11"/>
    <x v="2"/>
    <x v="5"/>
    <s v="SKU38886"/>
    <x v="2"/>
    <s v="M"/>
    <n v="4"/>
    <s v="INR"/>
    <n v="2497.61"/>
    <s v="Mumbai"/>
    <x v="0"/>
    <n v="400001"/>
    <s v="India"/>
    <s v="No"/>
  </r>
  <r>
    <n v="326"/>
    <s v="ORD202500326"/>
    <s v="CUST1914"/>
    <x v="0"/>
    <n v="28"/>
    <x v="1"/>
    <s v="2025-09-17"/>
    <x v="7"/>
    <x v="2"/>
    <x v="2"/>
    <s v="SKU10569"/>
    <x v="0"/>
    <s v="L"/>
    <n v="4"/>
    <s v="INR"/>
    <n v="4959.96"/>
    <s v="Mumbai"/>
    <x v="0"/>
    <n v="400001"/>
    <s v="India"/>
    <s v="No"/>
  </r>
  <r>
    <n v="327"/>
    <s v="ORD202500327"/>
    <s v="CUST4997"/>
    <x v="1"/>
    <n v="59"/>
    <x v="0"/>
    <s v="2025-09-09"/>
    <x v="7"/>
    <x v="2"/>
    <x v="4"/>
    <s v="SKU94011"/>
    <x v="3"/>
    <s v="M"/>
    <n v="4"/>
    <s v="INR"/>
    <n v="3903.08"/>
    <s v="Mumbai"/>
    <x v="0"/>
    <n v="400001"/>
    <s v="India"/>
    <s v="Yes"/>
  </r>
  <r>
    <n v="328"/>
    <s v="ORD202500328"/>
    <s v="CUST4373"/>
    <x v="0"/>
    <n v="43"/>
    <x v="2"/>
    <s v="2025-02-19"/>
    <x v="8"/>
    <x v="2"/>
    <x v="2"/>
    <s v="SKU41375"/>
    <x v="0"/>
    <s v="XL"/>
    <n v="2"/>
    <s v="INR"/>
    <n v="3464.35"/>
    <s v="Mumbai"/>
    <x v="0"/>
    <n v="400001"/>
    <s v="India"/>
    <s v="No"/>
  </r>
  <r>
    <n v="329"/>
    <s v="ORD202500329"/>
    <s v="CUST6407"/>
    <x v="1"/>
    <n v="55"/>
    <x v="0"/>
    <s v="2025-06-09"/>
    <x v="3"/>
    <x v="2"/>
    <x v="5"/>
    <s v="SKU71040"/>
    <x v="0"/>
    <s v="M"/>
    <n v="4"/>
    <s v="INR"/>
    <n v="3289.08"/>
    <s v="Lucknow"/>
    <x v="4"/>
    <n v="226001"/>
    <s v="India"/>
    <s v="Yes"/>
  </r>
  <r>
    <n v="330"/>
    <s v="ORD202500330"/>
    <s v="CUST7050"/>
    <x v="1"/>
    <n v="32"/>
    <x v="2"/>
    <s v="2025-04-18"/>
    <x v="11"/>
    <x v="2"/>
    <x v="3"/>
    <s v="SKU45628"/>
    <x v="0"/>
    <s v="M"/>
    <n v="4"/>
    <s v="INR"/>
    <n v="1318.46"/>
    <s v="Jaipur"/>
    <x v="2"/>
    <n v="302001"/>
    <s v="India"/>
    <s v="Yes"/>
  </r>
  <r>
    <n v="331"/>
    <s v="ORD202500331"/>
    <s v="CUST3428"/>
    <x v="1"/>
    <n v="49"/>
    <x v="2"/>
    <s v="2025-09-25"/>
    <x v="7"/>
    <x v="2"/>
    <x v="4"/>
    <s v="SKU82844"/>
    <x v="2"/>
    <s v="L"/>
    <n v="1"/>
    <s v="INR"/>
    <n v="876.02"/>
    <s v="Jaipur"/>
    <x v="2"/>
    <n v="302001"/>
    <s v="India"/>
    <s v="Yes"/>
  </r>
  <r>
    <n v="332"/>
    <s v="ORD202500332"/>
    <s v="CUST8165"/>
    <x v="0"/>
    <n v="27"/>
    <x v="1"/>
    <s v="2025-03-18"/>
    <x v="0"/>
    <x v="2"/>
    <x v="4"/>
    <s v="SKU91856"/>
    <x v="3"/>
    <s v="L"/>
    <n v="1"/>
    <s v="INR"/>
    <n v="4902.05"/>
    <s v="Bengaluru"/>
    <x v="1"/>
    <n v="560001"/>
    <s v="India"/>
    <s v="Yes"/>
  </r>
  <r>
    <n v="333"/>
    <s v="ORD202500333"/>
    <s v="CUST2153"/>
    <x v="1"/>
    <n v="44"/>
    <x v="2"/>
    <s v="2025-01-07"/>
    <x v="10"/>
    <x v="2"/>
    <x v="3"/>
    <s v="SKU33212"/>
    <x v="0"/>
    <s v="L"/>
    <n v="5"/>
    <s v="INR"/>
    <n v="4923.92"/>
    <s v="Bengaluru"/>
    <x v="1"/>
    <n v="560001"/>
    <s v="India"/>
    <s v="No"/>
  </r>
  <r>
    <n v="334"/>
    <s v="ORD202500334"/>
    <s v="CUST3380"/>
    <x v="0"/>
    <n v="57"/>
    <x v="0"/>
    <s v="2025-07-14"/>
    <x v="9"/>
    <x v="2"/>
    <x v="5"/>
    <s v="SKU97031"/>
    <x v="0"/>
    <s v="S"/>
    <n v="4"/>
    <s v="INR"/>
    <n v="4268.1499999999996"/>
    <s v="Lucknow"/>
    <x v="4"/>
    <n v="226001"/>
    <s v="India"/>
    <s v="Yes"/>
  </r>
  <r>
    <n v="335"/>
    <s v="ORD202500335"/>
    <s v="CUST9715"/>
    <x v="0"/>
    <n v="58"/>
    <x v="0"/>
    <s v="2025-12-14"/>
    <x v="1"/>
    <x v="2"/>
    <x v="1"/>
    <s v="SKU63148"/>
    <x v="5"/>
    <s v="S"/>
    <n v="4"/>
    <s v="INR"/>
    <n v="2277.1799999999998"/>
    <s v="Mumbai"/>
    <x v="0"/>
    <n v="400001"/>
    <s v="India"/>
    <s v="No"/>
  </r>
  <r>
    <n v="336"/>
    <s v="ORD202500336"/>
    <s v="CUST5970"/>
    <x v="0"/>
    <n v="54"/>
    <x v="0"/>
    <s v="2025-10-04"/>
    <x v="4"/>
    <x v="2"/>
    <x v="3"/>
    <s v="SKU61409"/>
    <x v="0"/>
    <s v="L"/>
    <n v="2"/>
    <s v="INR"/>
    <n v="1103.57"/>
    <s v="Jaipur"/>
    <x v="2"/>
    <n v="302001"/>
    <s v="India"/>
    <s v="No"/>
  </r>
  <r>
    <n v="337"/>
    <s v="ORD202500337"/>
    <s v="CUST6461"/>
    <x v="1"/>
    <n v="25"/>
    <x v="1"/>
    <s v="2025-02-09"/>
    <x v="8"/>
    <x v="2"/>
    <x v="0"/>
    <s v="SKU25231"/>
    <x v="0"/>
    <s v="M"/>
    <n v="4"/>
    <s v="INR"/>
    <n v="2158.41"/>
    <s v="Jaipur"/>
    <x v="2"/>
    <n v="302001"/>
    <s v="India"/>
    <s v="No"/>
  </r>
  <r>
    <n v="338"/>
    <s v="ORD202500338"/>
    <s v="CUST6080"/>
    <x v="0"/>
    <n v="59"/>
    <x v="0"/>
    <s v="2025-12-10"/>
    <x v="1"/>
    <x v="2"/>
    <x v="2"/>
    <s v="SKU90763"/>
    <x v="4"/>
    <s v="M"/>
    <n v="3"/>
    <s v="INR"/>
    <n v="4776.3900000000003"/>
    <s v="Jaipur"/>
    <x v="2"/>
    <n v="302001"/>
    <s v="India"/>
    <s v="Yes"/>
  </r>
  <r>
    <n v="339"/>
    <s v="ORD202500339"/>
    <s v="CUST3157"/>
    <x v="1"/>
    <n v="49"/>
    <x v="2"/>
    <s v="2025-06-16"/>
    <x v="3"/>
    <x v="2"/>
    <x v="5"/>
    <s v="SKU22773"/>
    <x v="0"/>
    <s v="M"/>
    <n v="5"/>
    <s v="INR"/>
    <n v="1379.48"/>
    <s v="Lucknow"/>
    <x v="4"/>
    <n v="226001"/>
    <s v="India"/>
    <s v="Yes"/>
  </r>
  <r>
    <n v="340"/>
    <s v="ORD202500340"/>
    <s v="CUST9352"/>
    <x v="0"/>
    <n v="56"/>
    <x v="0"/>
    <s v="2025-12-31"/>
    <x v="1"/>
    <x v="2"/>
    <x v="4"/>
    <s v="SKU34288"/>
    <x v="0"/>
    <s v="S"/>
    <n v="4"/>
    <s v="INR"/>
    <n v="399.2"/>
    <s v="Jaipur"/>
    <x v="2"/>
    <n v="302001"/>
    <s v="India"/>
    <s v="Yes"/>
  </r>
  <r>
    <n v="341"/>
    <s v="ORD202500341"/>
    <s v="CUST1153"/>
    <x v="0"/>
    <n v="24"/>
    <x v="1"/>
    <s v="2025-06-05"/>
    <x v="3"/>
    <x v="2"/>
    <x v="4"/>
    <s v="SKU67908"/>
    <x v="0"/>
    <s v="M"/>
    <n v="4"/>
    <s v="INR"/>
    <n v="2994.05"/>
    <s v="Lucknow"/>
    <x v="4"/>
    <n v="226001"/>
    <s v="India"/>
    <s v="Yes"/>
  </r>
  <r>
    <n v="342"/>
    <s v="ORD202500342"/>
    <s v="CUST5816"/>
    <x v="0"/>
    <n v="42"/>
    <x v="2"/>
    <s v="2025-11-07"/>
    <x v="6"/>
    <x v="2"/>
    <x v="0"/>
    <s v="SKU47678"/>
    <x v="3"/>
    <s v="L"/>
    <n v="2"/>
    <s v="INR"/>
    <n v="4509.04"/>
    <s v="Delhi"/>
    <x v="3"/>
    <n v="110001"/>
    <s v="India"/>
    <s v="No"/>
  </r>
  <r>
    <n v="343"/>
    <s v="ORD202500343"/>
    <s v="CUST2807"/>
    <x v="1"/>
    <n v="22"/>
    <x v="1"/>
    <s v="2025-01-30"/>
    <x v="10"/>
    <x v="2"/>
    <x v="3"/>
    <s v="SKU69541"/>
    <x v="5"/>
    <s v="L"/>
    <n v="4"/>
    <s v="INR"/>
    <n v="4218.3599999999997"/>
    <s v="Delhi"/>
    <x v="3"/>
    <n v="110001"/>
    <s v="India"/>
    <s v="No"/>
  </r>
  <r>
    <n v="344"/>
    <s v="ORD202500344"/>
    <s v="CUST2812"/>
    <x v="0"/>
    <n v="50"/>
    <x v="0"/>
    <s v="2025-03-28"/>
    <x v="0"/>
    <x v="2"/>
    <x v="4"/>
    <s v="SKU62044"/>
    <x v="5"/>
    <s v="S"/>
    <n v="3"/>
    <s v="INR"/>
    <n v="4425"/>
    <s v="Mumbai"/>
    <x v="0"/>
    <n v="400001"/>
    <s v="India"/>
    <s v="Yes"/>
  </r>
  <r>
    <n v="345"/>
    <s v="ORD202500345"/>
    <s v="CUST9140"/>
    <x v="1"/>
    <n v="41"/>
    <x v="2"/>
    <s v="2025-02-22"/>
    <x v="8"/>
    <x v="2"/>
    <x v="5"/>
    <s v="SKU81638"/>
    <x v="2"/>
    <s v="M"/>
    <n v="5"/>
    <s v="INR"/>
    <n v="1347.75"/>
    <s v="Lucknow"/>
    <x v="4"/>
    <n v="226001"/>
    <s v="India"/>
    <s v="Yes"/>
  </r>
  <r>
    <n v="346"/>
    <s v="ORD202500346"/>
    <s v="CUST6389"/>
    <x v="1"/>
    <n v="25"/>
    <x v="1"/>
    <s v="2025-12-22"/>
    <x v="1"/>
    <x v="2"/>
    <x v="2"/>
    <s v="SKU64786"/>
    <x v="2"/>
    <s v="XL"/>
    <n v="3"/>
    <s v="INR"/>
    <n v="4475.8500000000004"/>
    <s v="Bengaluru"/>
    <x v="1"/>
    <n v="560001"/>
    <s v="India"/>
    <s v="Yes"/>
  </r>
  <r>
    <n v="347"/>
    <s v="ORD202500347"/>
    <s v="CUST3544"/>
    <x v="0"/>
    <n v="39"/>
    <x v="2"/>
    <s v="2025-01-12"/>
    <x v="10"/>
    <x v="2"/>
    <x v="0"/>
    <s v="SKU92511"/>
    <x v="5"/>
    <s v="S"/>
    <n v="5"/>
    <s v="INR"/>
    <n v="4473.76"/>
    <s v="Jaipur"/>
    <x v="2"/>
    <n v="302001"/>
    <s v="India"/>
    <s v="No"/>
  </r>
  <r>
    <n v="348"/>
    <s v="ORD202500348"/>
    <s v="CUST9128"/>
    <x v="1"/>
    <n v="35"/>
    <x v="2"/>
    <s v="2025-06-27"/>
    <x v="3"/>
    <x v="2"/>
    <x v="3"/>
    <s v="SKU97619"/>
    <x v="4"/>
    <s v="XL"/>
    <n v="4"/>
    <s v="INR"/>
    <n v="2871.63"/>
    <s v="Mumbai"/>
    <x v="0"/>
    <n v="400001"/>
    <s v="India"/>
    <s v="Yes"/>
  </r>
  <r>
    <n v="349"/>
    <s v="ORD202500349"/>
    <s v="CUST3855"/>
    <x v="0"/>
    <n v="54"/>
    <x v="0"/>
    <s v="2025-07-26"/>
    <x v="9"/>
    <x v="1"/>
    <x v="3"/>
    <s v="SKU89034"/>
    <x v="3"/>
    <s v="L"/>
    <n v="3"/>
    <s v="INR"/>
    <n v="2006.26"/>
    <s v="Jaipur"/>
    <x v="2"/>
    <n v="302001"/>
    <s v="India"/>
    <s v="Yes"/>
  </r>
  <r>
    <n v="350"/>
    <s v="ORD202500350"/>
    <s v="CUST2474"/>
    <x v="1"/>
    <n v="47"/>
    <x v="2"/>
    <s v="2025-02-16"/>
    <x v="8"/>
    <x v="3"/>
    <x v="2"/>
    <s v="SKU55475"/>
    <x v="0"/>
    <s v="XL"/>
    <n v="3"/>
    <s v="INR"/>
    <n v="4912.67"/>
    <s v="Mumbai"/>
    <x v="0"/>
    <n v="400001"/>
    <s v="India"/>
    <s v="Yes"/>
  </r>
  <r>
    <n v="351"/>
    <s v="ORD202500351"/>
    <s v="CUST6978"/>
    <x v="0"/>
    <n v="52"/>
    <x v="0"/>
    <s v="2025-04-18"/>
    <x v="11"/>
    <x v="2"/>
    <x v="3"/>
    <s v="SKU97811"/>
    <x v="0"/>
    <s v="L"/>
    <n v="1"/>
    <s v="INR"/>
    <n v="2180.29"/>
    <s v="Jaipur"/>
    <x v="2"/>
    <n v="302001"/>
    <s v="India"/>
    <s v="No"/>
  </r>
  <r>
    <n v="352"/>
    <s v="ORD202500352"/>
    <s v="CUST5582"/>
    <x v="0"/>
    <n v="56"/>
    <x v="0"/>
    <s v="2025-09-16"/>
    <x v="7"/>
    <x v="2"/>
    <x v="4"/>
    <s v="SKU10312"/>
    <x v="3"/>
    <s v="XL"/>
    <n v="2"/>
    <s v="INR"/>
    <n v="2715.79"/>
    <s v="Mumbai"/>
    <x v="0"/>
    <n v="400001"/>
    <s v="India"/>
    <s v="No"/>
  </r>
  <r>
    <n v="353"/>
    <s v="ORD202500353"/>
    <s v="CUST1354"/>
    <x v="1"/>
    <n v="48"/>
    <x v="2"/>
    <s v="2025-11-27"/>
    <x v="6"/>
    <x v="0"/>
    <x v="3"/>
    <s v="SKU42770"/>
    <x v="3"/>
    <s v="XL"/>
    <n v="5"/>
    <s v="INR"/>
    <n v="4488.24"/>
    <s v="Jaipur"/>
    <x v="2"/>
    <n v="302001"/>
    <s v="India"/>
    <s v="No"/>
  </r>
  <r>
    <n v="354"/>
    <s v="ORD202500354"/>
    <s v="CUST7799"/>
    <x v="0"/>
    <n v="50"/>
    <x v="0"/>
    <s v="2025-02-19"/>
    <x v="8"/>
    <x v="2"/>
    <x v="4"/>
    <s v="SKU23840"/>
    <x v="5"/>
    <s v="S"/>
    <n v="1"/>
    <s v="INR"/>
    <n v="797.85"/>
    <s v="Mumbai"/>
    <x v="0"/>
    <n v="400001"/>
    <s v="India"/>
    <s v="No"/>
  </r>
  <r>
    <n v="355"/>
    <s v="ORD202500355"/>
    <s v="CUST4316"/>
    <x v="1"/>
    <n v="30"/>
    <x v="2"/>
    <s v="2025-05-04"/>
    <x v="2"/>
    <x v="2"/>
    <x v="0"/>
    <s v="SKU13639"/>
    <x v="4"/>
    <s v="S"/>
    <n v="4"/>
    <s v="INR"/>
    <n v="4428.16"/>
    <s v="Lucknow"/>
    <x v="4"/>
    <n v="226001"/>
    <s v="India"/>
    <s v="No"/>
  </r>
  <r>
    <n v="356"/>
    <s v="ORD202500356"/>
    <s v="CUST8196"/>
    <x v="1"/>
    <n v="21"/>
    <x v="1"/>
    <s v="2025-01-24"/>
    <x v="10"/>
    <x v="2"/>
    <x v="0"/>
    <s v="SKU72559"/>
    <x v="1"/>
    <s v="M"/>
    <n v="5"/>
    <s v="INR"/>
    <n v="1378.84"/>
    <s v="Lucknow"/>
    <x v="4"/>
    <n v="226001"/>
    <s v="India"/>
    <s v="No"/>
  </r>
  <r>
    <n v="357"/>
    <s v="ORD202500357"/>
    <s v="CUST9259"/>
    <x v="0"/>
    <n v="37"/>
    <x v="2"/>
    <s v="2025-04-07"/>
    <x v="11"/>
    <x v="1"/>
    <x v="5"/>
    <s v="SKU35358"/>
    <x v="1"/>
    <s v="M"/>
    <n v="3"/>
    <s v="INR"/>
    <n v="2191.8000000000002"/>
    <s v="Delhi"/>
    <x v="3"/>
    <n v="110001"/>
    <s v="India"/>
    <s v="No"/>
  </r>
  <r>
    <n v="358"/>
    <s v="ORD202500358"/>
    <s v="CUST7618"/>
    <x v="1"/>
    <n v="58"/>
    <x v="0"/>
    <s v="2025-02-24"/>
    <x v="8"/>
    <x v="0"/>
    <x v="5"/>
    <s v="SKU59936"/>
    <x v="0"/>
    <s v="S"/>
    <n v="4"/>
    <s v="INR"/>
    <n v="4542.32"/>
    <s v="Bengaluru"/>
    <x v="1"/>
    <n v="560001"/>
    <s v="India"/>
    <s v="Yes"/>
  </r>
  <r>
    <n v="359"/>
    <s v="ORD202500359"/>
    <s v="CUST4399"/>
    <x v="0"/>
    <n v="34"/>
    <x v="2"/>
    <s v="2025-12-06"/>
    <x v="1"/>
    <x v="3"/>
    <x v="5"/>
    <s v="SKU51017"/>
    <x v="5"/>
    <s v="XL"/>
    <n v="5"/>
    <s v="INR"/>
    <n v="4253.16"/>
    <s v="Delhi"/>
    <x v="3"/>
    <n v="110001"/>
    <s v="India"/>
    <s v="Yes"/>
  </r>
  <r>
    <n v="360"/>
    <s v="ORD202500360"/>
    <s v="CUST1424"/>
    <x v="1"/>
    <n v="45"/>
    <x v="2"/>
    <s v="2025-02-10"/>
    <x v="8"/>
    <x v="2"/>
    <x v="4"/>
    <s v="SKU37558"/>
    <x v="5"/>
    <s v="L"/>
    <n v="4"/>
    <s v="INR"/>
    <n v="2179.1799999999998"/>
    <s v="Mumbai"/>
    <x v="0"/>
    <n v="400001"/>
    <s v="India"/>
    <s v="No"/>
  </r>
  <r>
    <n v="361"/>
    <s v="ORD202500361"/>
    <s v="CUST2900"/>
    <x v="0"/>
    <n v="26"/>
    <x v="1"/>
    <s v="2025-01-29"/>
    <x v="10"/>
    <x v="1"/>
    <x v="5"/>
    <s v="SKU10762"/>
    <x v="4"/>
    <s v="M"/>
    <n v="5"/>
    <s v="INR"/>
    <n v="2396.4499999999998"/>
    <s v="Mumbai"/>
    <x v="0"/>
    <n v="400001"/>
    <s v="India"/>
    <s v="Yes"/>
  </r>
  <r>
    <n v="362"/>
    <s v="ORD202500362"/>
    <s v="CUST5322"/>
    <x v="0"/>
    <n v="38"/>
    <x v="2"/>
    <s v="2025-01-13"/>
    <x v="10"/>
    <x v="2"/>
    <x v="2"/>
    <s v="SKU57839"/>
    <x v="1"/>
    <s v="XL"/>
    <n v="2"/>
    <s v="INR"/>
    <n v="2466.16"/>
    <s v="Delhi"/>
    <x v="3"/>
    <n v="110001"/>
    <s v="India"/>
    <s v="Yes"/>
  </r>
  <r>
    <n v="363"/>
    <s v="ORD202500363"/>
    <s v="CUST2604"/>
    <x v="1"/>
    <n v="48"/>
    <x v="2"/>
    <s v="2025-06-10"/>
    <x v="3"/>
    <x v="2"/>
    <x v="5"/>
    <s v="SKU73802"/>
    <x v="0"/>
    <s v="S"/>
    <n v="4"/>
    <s v="INR"/>
    <n v="853.66"/>
    <s v="Delhi"/>
    <x v="3"/>
    <n v="110001"/>
    <s v="India"/>
    <s v="Yes"/>
  </r>
  <r>
    <n v="364"/>
    <s v="ORD202500364"/>
    <s v="CUST6284"/>
    <x v="0"/>
    <n v="58"/>
    <x v="0"/>
    <s v="2025-08-03"/>
    <x v="5"/>
    <x v="0"/>
    <x v="2"/>
    <s v="SKU72039"/>
    <x v="1"/>
    <s v="L"/>
    <n v="4"/>
    <s v="INR"/>
    <n v="4133.1499999999996"/>
    <s v="Mumbai"/>
    <x v="0"/>
    <n v="400001"/>
    <s v="India"/>
    <s v="Yes"/>
  </r>
  <r>
    <n v="365"/>
    <s v="ORD202500365"/>
    <s v="CUST5999"/>
    <x v="1"/>
    <n v="54"/>
    <x v="0"/>
    <s v="2025-08-08"/>
    <x v="5"/>
    <x v="2"/>
    <x v="5"/>
    <s v="SKU66922"/>
    <x v="0"/>
    <s v="S"/>
    <n v="3"/>
    <s v="INR"/>
    <n v="2069.16"/>
    <s v="Jaipur"/>
    <x v="2"/>
    <n v="302001"/>
    <s v="India"/>
    <s v="Yes"/>
  </r>
  <r>
    <n v="366"/>
    <s v="ORD202500366"/>
    <s v="CUST3823"/>
    <x v="1"/>
    <n v="24"/>
    <x v="1"/>
    <s v="2025-03-22"/>
    <x v="0"/>
    <x v="0"/>
    <x v="1"/>
    <s v="SKU43121"/>
    <x v="0"/>
    <s v="S"/>
    <n v="5"/>
    <s v="INR"/>
    <n v="4524.1899999999996"/>
    <s v="Delhi"/>
    <x v="3"/>
    <n v="110001"/>
    <s v="India"/>
    <s v="No"/>
  </r>
  <r>
    <n v="367"/>
    <s v="ORD202500367"/>
    <s v="CUST3288"/>
    <x v="1"/>
    <n v="42"/>
    <x v="2"/>
    <s v="2025-04-26"/>
    <x v="11"/>
    <x v="3"/>
    <x v="1"/>
    <s v="SKU95521"/>
    <x v="5"/>
    <s v="S"/>
    <n v="5"/>
    <s v="INR"/>
    <n v="2646.23"/>
    <s v="Mumbai"/>
    <x v="0"/>
    <n v="400001"/>
    <s v="India"/>
    <s v="Yes"/>
  </r>
  <r>
    <n v="368"/>
    <s v="ORD202500368"/>
    <s v="CUST2826"/>
    <x v="0"/>
    <n v="59"/>
    <x v="0"/>
    <s v="2025-06-25"/>
    <x v="3"/>
    <x v="1"/>
    <x v="3"/>
    <s v="SKU37603"/>
    <x v="3"/>
    <s v="S"/>
    <n v="1"/>
    <s v="INR"/>
    <n v="1910.39"/>
    <s v="Bengaluru"/>
    <x v="1"/>
    <n v="560001"/>
    <s v="India"/>
    <s v="No"/>
  </r>
  <r>
    <n v="369"/>
    <s v="ORD202500369"/>
    <s v="CUST2561"/>
    <x v="0"/>
    <n v="60"/>
    <x v="0"/>
    <s v="2025-04-27"/>
    <x v="11"/>
    <x v="2"/>
    <x v="2"/>
    <s v="SKU46016"/>
    <x v="5"/>
    <s v="S"/>
    <n v="3"/>
    <s v="INR"/>
    <n v="620.28"/>
    <s v="Mumbai"/>
    <x v="0"/>
    <n v="400001"/>
    <s v="India"/>
    <s v="Yes"/>
  </r>
  <r>
    <n v="370"/>
    <s v="ORD202500370"/>
    <s v="CUST9349"/>
    <x v="0"/>
    <n v="30"/>
    <x v="2"/>
    <s v="2025-01-03"/>
    <x v="10"/>
    <x v="3"/>
    <x v="2"/>
    <s v="SKU70798"/>
    <x v="4"/>
    <s v="M"/>
    <n v="1"/>
    <s v="INR"/>
    <n v="2067.6799999999998"/>
    <s v="Bengaluru"/>
    <x v="1"/>
    <n v="560001"/>
    <s v="India"/>
    <s v="No"/>
  </r>
  <r>
    <n v="371"/>
    <s v="ORD202500371"/>
    <s v="CUST4509"/>
    <x v="0"/>
    <n v="56"/>
    <x v="0"/>
    <s v="2025-11-14"/>
    <x v="6"/>
    <x v="2"/>
    <x v="1"/>
    <s v="SKU70028"/>
    <x v="2"/>
    <s v="S"/>
    <n v="5"/>
    <s v="INR"/>
    <n v="4934.32"/>
    <s v="Bengaluru"/>
    <x v="1"/>
    <n v="560001"/>
    <s v="India"/>
    <s v="Yes"/>
  </r>
  <r>
    <n v="372"/>
    <s v="ORD202500372"/>
    <s v="CUST2635"/>
    <x v="0"/>
    <n v="30"/>
    <x v="2"/>
    <s v="2025-11-10"/>
    <x v="6"/>
    <x v="3"/>
    <x v="0"/>
    <s v="SKU93310"/>
    <x v="4"/>
    <s v="XL"/>
    <n v="1"/>
    <s v="INR"/>
    <n v="4340.24"/>
    <s v="Jaipur"/>
    <x v="2"/>
    <n v="302001"/>
    <s v="India"/>
    <s v="Yes"/>
  </r>
  <r>
    <n v="373"/>
    <s v="ORD202500373"/>
    <s v="CUST3250"/>
    <x v="0"/>
    <n v="31"/>
    <x v="2"/>
    <s v="2025-11-12"/>
    <x v="6"/>
    <x v="0"/>
    <x v="5"/>
    <s v="SKU91881"/>
    <x v="5"/>
    <s v="XL"/>
    <n v="3"/>
    <s v="INR"/>
    <n v="2915.69"/>
    <s v="Lucknow"/>
    <x v="4"/>
    <n v="226001"/>
    <s v="India"/>
    <s v="No"/>
  </r>
  <r>
    <n v="374"/>
    <s v="ORD202500374"/>
    <s v="CUST3232"/>
    <x v="0"/>
    <n v="54"/>
    <x v="0"/>
    <s v="2025-06-26"/>
    <x v="3"/>
    <x v="1"/>
    <x v="5"/>
    <s v="SKU76118"/>
    <x v="2"/>
    <s v="M"/>
    <n v="3"/>
    <s v="INR"/>
    <n v="2333.94"/>
    <s v="Delhi"/>
    <x v="3"/>
    <n v="110001"/>
    <s v="India"/>
    <s v="Yes"/>
  </r>
  <r>
    <n v="375"/>
    <s v="ORD202500375"/>
    <s v="CUST9563"/>
    <x v="0"/>
    <n v="37"/>
    <x v="2"/>
    <s v="2025-05-10"/>
    <x v="2"/>
    <x v="2"/>
    <x v="3"/>
    <s v="SKU53385"/>
    <x v="4"/>
    <s v="L"/>
    <n v="3"/>
    <s v="INR"/>
    <n v="2786.35"/>
    <s v="Delhi"/>
    <x v="3"/>
    <n v="110001"/>
    <s v="India"/>
    <s v="No"/>
  </r>
  <r>
    <n v="376"/>
    <s v="ORD202500376"/>
    <s v="CUST8588"/>
    <x v="0"/>
    <n v="40"/>
    <x v="2"/>
    <s v="2025-10-20"/>
    <x v="4"/>
    <x v="0"/>
    <x v="5"/>
    <s v="SKU28961"/>
    <x v="5"/>
    <s v="XL"/>
    <n v="4"/>
    <s v="INR"/>
    <n v="4112.79"/>
    <s v="Bengaluru"/>
    <x v="1"/>
    <n v="560001"/>
    <s v="India"/>
    <s v="No"/>
  </r>
  <r>
    <n v="377"/>
    <s v="ORD202500377"/>
    <s v="CUST1391"/>
    <x v="0"/>
    <n v="41"/>
    <x v="2"/>
    <s v="2025-05-09"/>
    <x v="2"/>
    <x v="1"/>
    <x v="3"/>
    <s v="SKU94250"/>
    <x v="0"/>
    <s v="M"/>
    <n v="5"/>
    <s v="INR"/>
    <n v="3870.96"/>
    <s v="Lucknow"/>
    <x v="4"/>
    <n v="226001"/>
    <s v="India"/>
    <s v="Yes"/>
  </r>
  <r>
    <n v="378"/>
    <s v="ORD202500378"/>
    <s v="CUST5494"/>
    <x v="0"/>
    <n v="46"/>
    <x v="2"/>
    <s v="2025-10-16"/>
    <x v="4"/>
    <x v="1"/>
    <x v="5"/>
    <s v="SKU39391"/>
    <x v="5"/>
    <s v="S"/>
    <n v="5"/>
    <s v="INR"/>
    <n v="4890.38"/>
    <s v="Mumbai"/>
    <x v="0"/>
    <n v="400001"/>
    <s v="India"/>
    <s v="Yes"/>
  </r>
  <r>
    <n v="379"/>
    <s v="ORD202500379"/>
    <s v="CUST3487"/>
    <x v="0"/>
    <n v="55"/>
    <x v="0"/>
    <s v="2025-03-15"/>
    <x v="0"/>
    <x v="0"/>
    <x v="5"/>
    <s v="SKU78031"/>
    <x v="3"/>
    <s v="XL"/>
    <n v="5"/>
    <s v="INR"/>
    <n v="1525.16"/>
    <s v="Lucknow"/>
    <x v="4"/>
    <n v="226001"/>
    <s v="India"/>
    <s v="No"/>
  </r>
  <r>
    <n v="380"/>
    <s v="ORD202500380"/>
    <s v="CUST2891"/>
    <x v="0"/>
    <n v="37"/>
    <x v="2"/>
    <s v="2025-07-09"/>
    <x v="9"/>
    <x v="2"/>
    <x v="0"/>
    <s v="SKU86459"/>
    <x v="3"/>
    <s v="L"/>
    <n v="5"/>
    <s v="INR"/>
    <n v="4591.01"/>
    <s v="Lucknow"/>
    <x v="4"/>
    <n v="226001"/>
    <s v="India"/>
    <s v="Yes"/>
  </r>
  <r>
    <n v="381"/>
    <s v="ORD202500381"/>
    <s v="CUST2069"/>
    <x v="0"/>
    <n v="60"/>
    <x v="0"/>
    <s v="2025-10-11"/>
    <x v="4"/>
    <x v="0"/>
    <x v="1"/>
    <s v="SKU97922"/>
    <x v="0"/>
    <s v="L"/>
    <n v="2"/>
    <s v="INR"/>
    <n v="345.24"/>
    <s v="Mumbai"/>
    <x v="0"/>
    <n v="400001"/>
    <s v="India"/>
    <s v="Yes"/>
  </r>
  <r>
    <n v="382"/>
    <s v="ORD202500382"/>
    <s v="CUST6830"/>
    <x v="0"/>
    <n v="58"/>
    <x v="0"/>
    <s v="2025-09-09"/>
    <x v="7"/>
    <x v="0"/>
    <x v="1"/>
    <s v="SKU56414"/>
    <x v="0"/>
    <s v="M"/>
    <n v="1"/>
    <s v="INR"/>
    <n v="3975.99"/>
    <s v="Jaipur"/>
    <x v="2"/>
    <n v="302001"/>
    <s v="India"/>
    <s v="Yes"/>
  </r>
  <r>
    <n v="383"/>
    <s v="ORD202500383"/>
    <s v="CUST9394"/>
    <x v="0"/>
    <n v="20"/>
    <x v="1"/>
    <s v="2025-03-22"/>
    <x v="0"/>
    <x v="0"/>
    <x v="1"/>
    <s v="SKU64019"/>
    <x v="1"/>
    <s v="M"/>
    <n v="4"/>
    <s v="INR"/>
    <n v="1369.88"/>
    <s v="Jaipur"/>
    <x v="2"/>
    <n v="302001"/>
    <s v="India"/>
    <s v="Yes"/>
  </r>
  <r>
    <n v="384"/>
    <s v="ORD202500384"/>
    <s v="CUST8533"/>
    <x v="0"/>
    <n v="20"/>
    <x v="1"/>
    <s v="2025-09-09"/>
    <x v="7"/>
    <x v="0"/>
    <x v="1"/>
    <s v="SKU89391"/>
    <x v="0"/>
    <s v="L"/>
    <n v="4"/>
    <s v="INR"/>
    <n v="1372.43"/>
    <s v="Mumbai"/>
    <x v="0"/>
    <n v="400001"/>
    <s v="India"/>
    <s v="Yes"/>
  </r>
  <r>
    <n v="385"/>
    <s v="ORD202500385"/>
    <s v="CUST8615"/>
    <x v="0"/>
    <n v="48"/>
    <x v="2"/>
    <s v="2025-08-26"/>
    <x v="5"/>
    <x v="2"/>
    <x v="1"/>
    <s v="SKU36556"/>
    <x v="1"/>
    <s v="S"/>
    <n v="1"/>
    <s v="INR"/>
    <n v="4403.58"/>
    <s v="Bengaluru"/>
    <x v="1"/>
    <n v="560001"/>
    <s v="India"/>
    <s v="No"/>
  </r>
  <r>
    <n v="386"/>
    <s v="ORD202500386"/>
    <s v="CUST1077"/>
    <x v="0"/>
    <n v="46"/>
    <x v="2"/>
    <s v="2025-07-28"/>
    <x v="9"/>
    <x v="1"/>
    <x v="1"/>
    <s v="SKU33550"/>
    <x v="4"/>
    <s v="XL"/>
    <n v="4"/>
    <s v="INR"/>
    <n v="2627.6"/>
    <s v="Lucknow"/>
    <x v="4"/>
    <n v="226001"/>
    <s v="India"/>
    <s v="Yes"/>
  </r>
  <r>
    <n v="387"/>
    <s v="ORD202500387"/>
    <s v="CUST4924"/>
    <x v="0"/>
    <n v="51"/>
    <x v="0"/>
    <s v="2025-05-09"/>
    <x v="2"/>
    <x v="1"/>
    <x v="1"/>
    <s v="SKU38709"/>
    <x v="4"/>
    <s v="XL"/>
    <n v="1"/>
    <s v="INR"/>
    <n v="455.71"/>
    <s v="Jaipur"/>
    <x v="2"/>
    <n v="302001"/>
    <s v="India"/>
    <s v="Yes"/>
  </r>
  <r>
    <n v="388"/>
    <s v="ORD202500388"/>
    <s v="CUST1292"/>
    <x v="0"/>
    <n v="46"/>
    <x v="2"/>
    <s v="2025-04-19"/>
    <x v="11"/>
    <x v="0"/>
    <x v="1"/>
    <s v="SKU46355"/>
    <x v="4"/>
    <s v="M"/>
    <n v="3"/>
    <s v="INR"/>
    <n v="1972.83"/>
    <s v="Lucknow"/>
    <x v="4"/>
    <n v="226001"/>
    <s v="India"/>
    <s v="No"/>
  </r>
  <r>
    <n v="389"/>
    <s v="ORD202500389"/>
    <s v="CUST2051"/>
    <x v="0"/>
    <n v="55"/>
    <x v="0"/>
    <s v="2025-12-27"/>
    <x v="1"/>
    <x v="2"/>
    <x v="1"/>
    <s v="SKU22703"/>
    <x v="1"/>
    <s v="S"/>
    <n v="2"/>
    <s v="INR"/>
    <n v="4584.6499999999996"/>
    <s v="Mumbai"/>
    <x v="0"/>
    <n v="400001"/>
    <s v="India"/>
    <s v="No"/>
  </r>
  <r>
    <n v="390"/>
    <s v="ORD202500390"/>
    <s v="CUST4386"/>
    <x v="0"/>
    <n v="53"/>
    <x v="0"/>
    <s v="2025-10-11"/>
    <x v="4"/>
    <x v="0"/>
    <x v="1"/>
    <s v="SKU78767"/>
    <x v="3"/>
    <s v="XL"/>
    <n v="2"/>
    <s v="INR"/>
    <n v="2650.77"/>
    <s v="Mumbai"/>
    <x v="0"/>
    <n v="400001"/>
    <s v="India"/>
    <s v="Yes"/>
  </r>
  <r>
    <n v="391"/>
    <s v="ORD202500391"/>
    <s v="CUST9007"/>
    <x v="0"/>
    <n v="30"/>
    <x v="2"/>
    <s v="2025-12-17"/>
    <x v="1"/>
    <x v="0"/>
    <x v="1"/>
    <s v="SKU58175"/>
    <x v="5"/>
    <s v="XL"/>
    <n v="4"/>
    <s v="INR"/>
    <n v="1587.19"/>
    <s v="Lucknow"/>
    <x v="4"/>
    <n v="226001"/>
    <s v="India"/>
    <s v="Yes"/>
  </r>
  <r>
    <n v="392"/>
    <s v="ORD202500392"/>
    <s v="CUST3105"/>
    <x v="0"/>
    <n v="33"/>
    <x v="2"/>
    <s v="2025-07-11"/>
    <x v="9"/>
    <x v="0"/>
    <x v="1"/>
    <s v="SKU37013"/>
    <x v="0"/>
    <s v="S"/>
    <n v="1"/>
    <s v="INR"/>
    <n v="402.01"/>
    <s v="Bengaluru"/>
    <x v="1"/>
    <n v="560001"/>
    <s v="India"/>
    <s v="Yes"/>
  </r>
  <r>
    <n v="393"/>
    <s v="ORD202500393"/>
    <s v="CUST2467"/>
    <x v="0"/>
    <n v="25"/>
    <x v="1"/>
    <s v="2025-03-20"/>
    <x v="0"/>
    <x v="1"/>
    <x v="1"/>
    <s v="SKU29374"/>
    <x v="2"/>
    <s v="XL"/>
    <n v="4"/>
    <s v="INR"/>
    <n v="2201.14"/>
    <s v="Bengaluru"/>
    <x v="1"/>
    <n v="560001"/>
    <s v="India"/>
    <s v="Yes"/>
  </r>
  <r>
    <n v="394"/>
    <s v="ORD202500394"/>
    <s v="CUST9154"/>
    <x v="0"/>
    <n v="51"/>
    <x v="0"/>
    <s v="2025-03-03"/>
    <x v="0"/>
    <x v="3"/>
    <x v="1"/>
    <s v="SKU49450"/>
    <x v="2"/>
    <s v="S"/>
    <n v="2"/>
    <s v="INR"/>
    <n v="3401.02"/>
    <s v="Delhi"/>
    <x v="3"/>
    <n v="110001"/>
    <s v="India"/>
    <s v="No"/>
  </r>
  <r>
    <n v="395"/>
    <s v="ORD202500395"/>
    <s v="CUST7619"/>
    <x v="0"/>
    <n v="27"/>
    <x v="1"/>
    <s v="2025-06-01"/>
    <x v="3"/>
    <x v="2"/>
    <x v="1"/>
    <s v="SKU25704"/>
    <x v="0"/>
    <s v="S"/>
    <n v="4"/>
    <s v="INR"/>
    <n v="1300.3900000000001"/>
    <s v="Jaipur"/>
    <x v="2"/>
    <n v="302001"/>
    <s v="India"/>
    <s v="Yes"/>
  </r>
  <r>
    <n v="396"/>
    <s v="ORD202500396"/>
    <s v="CUST7618"/>
    <x v="0"/>
    <n v="51"/>
    <x v="0"/>
    <s v="2025-04-11"/>
    <x v="11"/>
    <x v="3"/>
    <x v="1"/>
    <s v="SKU51331"/>
    <x v="0"/>
    <s v="S"/>
    <n v="3"/>
    <s v="INR"/>
    <n v="3974.63"/>
    <s v="Bengaluru"/>
    <x v="1"/>
    <n v="560001"/>
    <s v="India"/>
    <s v="No"/>
  </r>
  <r>
    <n v="397"/>
    <s v="ORD202500397"/>
    <s v="CUST9780"/>
    <x v="0"/>
    <n v="27"/>
    <x v="1"/>
    <s v="2025-05-01"/>
    <x v="2"/>
    <x v="2"/>
    <x v="1"/>
    <s v="SKU69132"/>
    <x v="4"/>
    <s v="M"/>
    <n v="1"/>
    <s v="INR"/>
    <n v="3277.19"/>
    <s v="Jaipur"/>
    <x v="2"/>
    <n v="302001"/>
    <s v="India"/>
    <s v="Yes"/>
  </r>
  <r>
    <n v="398"/>
    <s v="ORD202500398"/>
    <s v="CUST8072"/>
    <x v="0"/>
    <n v="36"/>
    <x v="2"/>
    <s v="2025-01-08"/>
    <x v="10"/>
    <x v="0"/>
    <x v="1"/>
    <s v="SKU36323"/>
    <x v="2"/>
    <s v="S"/>
    <n v="4"/>
    <s v="INR"/>
    <n v="4632.2700000000004"/>
    <s v="Bengaluru"/>
    <x v="1"/>
    <n v="560001"/>
    <s v="India"/>
    <s v="No"/>
  </r>
  <r>
    <n v="399"/>
    <s v="ORD202500399"/>
    <s v="CUST1352"/>
    <x v="0"/>
    <n v="34"/>
    <x v="2"/>
    <s v="2025-02-16"/>
    <x v="8"/>
    <x v="1"/>
    <x v="1"/>
    <s v="SKU86706"/>
    <x v="2"/>
    <s v="XL"/>
    <n v="5"/>
    <s v="INR"/>
    <n v="3158.18"/>
    <s v="Lucknow"/>
    <x v="4"/>
    <n v="226001"/>
    <s v="India"/>
    <s v="Yes"/>
  </r>
  <r>
    <n v="400"/>
    <s v="ORD202500400"/>
    <s v="CUST8402"/>
    <x v="0"/>
    <n v="23"/>
    <x v="1"/>
    <s v="2025-11-29"/>
    <x v="6"/>
    <x v="0"/>
    <x v="0"/>
    <s v="SKU70550"/>
    <x v="2"/>
    <s v="XL"/>
    <n v="4"/>
    <s v="INR"/>
    <n v="1834.43"/>
    <s v="Mumbai"/>
    <x v="0"/>
    <n v="400001"/>
    <s v="India"/>
    <s v="No"/>
  </r>
  <r>
    <n v="401"/>
    <s v="ORD202500401"/>
    <s v="CUST5272"/>
    <x v="0"/>
    <n v="28"/>
    <x v="1"/>
    <s v="2025-05-06"/>
    <x v="2"/>
    <x v="1"/>
    <x v="2"/>
    <s v="SKU17583"/>
    <x v="2"/>
    <s v="S"/>
    <n v="2"/>
    <s v="INR"/>
    <n v="1094.81"/>
    <s v="Mumbai"/>
    <x v="0"/>
    <n v="400001"/>
    <s v="India"/>
    <s v="No"/>
  </r>
  <r>
    <n v="402"/>
    <s v="ORD202500402"/>
    <s v="CUST1752"/>
    <x v="0"/>
    <n v="20"/>
    <x v="1"/>
    <s v="2025-01-25"/>
    <x v="10"/>
    <x v="2"/>
    <x v="1"/>
    <s v="SKU12587"/>
    <x v="2"/>
    <s v="XL"/>
    <n v="5"/>
    <s v="INR"/>
    <n v="454.31"/>
    <s v="Bengaluru"/>
    <x v="1"/>
    <n v="560001"/>
    <s v="India"/>
    <s v="No"/>
  </r>
  <r>
    <n v="403"/>
    <s v="ORD202500403"/>
    <s v="CUST8332"/>
    <x v="0"/>
    <n v="35"/>
    <x v="2"/>
    <s v="2025-09-02"/>
    <x v="7"/>
    <x v="1"/>
    <x v="1"/>
    <s v="SKU19660"/>
    <x v="4"/>
    <s v="S"/>
    <n v="3"/>
    <s v="INR"/>
    <n v="4752.74"/>
    <s v="Delhi"/>
    <x v="3"/>
    <n v="110001"/>
    <s v="India"/>
    <s v="Yes"/>
  </r>
  <r>
    <n v="404"/>
    <s v="ORD202500404"/>
    <s v="CUST2479"/>
    <x v="0"/>
    <n v="33"/>
    <x v="2"/>
    <s v="2025-08-11"/>
    <x v="5"/>
    <x v="1"/>
    <x v="0"/>
    <s v="SKU76720"/>
    <x v="0"/>
    <s v="XL"/>
    <n v="5"/>
    <s v="INR"/>
    <n v="3548.49"/>
    <s v="Lucknow"/>
    <x v="4"/>
    <n v="226001"/>
    <s v="India"/>
    <s v="Yes"/>
  </r>
  <r>
    <n v="405"/>
    <s v="ORD202500405"/>
    <s v="CUST8706"/>
    <x v="0"/>
    <n v="35"/>
    <x v="2"/>
    <s v="2025-08-04"/>
    <x v="5"/>
    <x v="0"/>
    <x v="1"/>
    <s v="SKU38268"/>
    <x v="2"/>
    <s v="S"/>
    <n v="1"/>
    <s v="INR"/>
    <n v="1729.93"/>
    <s v="Lucknow"/>
    <x v="4"/>
    <n v="226001"/>
    <s v="India"/>
    <s v="Yes"/>
  </r>
  <r>
    <n v="406"/>
    <s v="ORD202500406"/>
    <s v="CUST8314"/>
    <x v="0"/>
    <n v="25"/>
    <x v="1"/>
    <s v="2025-03-04"/>
    <x v="0"/>
    <x v="3"/>
    <x v="2"/>
    <s v="SKU27671"/>
    <x v="0"/>
    <s v="M"/>
    <n v="3"/>
    <s v="INR"/>
    <n v="2650.05"/>
    <s v="Delhi"/>
    <x v="3"/>
    <n v="110001"/>
    <s v="India"/>
    <s v="No"/>
  </r>
  <r>
    <n v="407"/>
    <s v="ORD202500407"/>
    <s v="CUST1893"/>
    <x v="0"/>
    <n v="58"/>
    <x v="0"/>
    <s v="2025-11-01"/>
    <x v="6"/>
    <x v="1"/>
    <x v="3"/>
    <s v="SKU73989"/>
    <x v="4"/>
    <s v="XL"/>
    <n v="5"/>
    <s v="INR"/>
    <n v="559.33000000000004"/>
    <s v="Jaipur"/>
    <x v="2"/>
    <n v="302001"/>
    <s v="India"/>
    <s v="No"/>
  </r>
  <r>
    <n v="408"/>
    <s v="ORD202500408"/>
    <s v="CUST2785"/>
    <x v="0"/>
    <n v="50"/>
    <x v="0"/>
    <s v="2025-10-03"/>
    <x v="4"/>
    <x v="2"/>
    <x v="2"/>
    <s v="SKU32967"/>
    <x v="1"/>
    <s v="XL"/>
    <n v="4"/>
    <s v="INR"/>
    <n v="1170.1500000000001"/>
    <s v="Mumbai"/>
    <x v="0"/>
    <n v="400001"/>
    <s v="India"/>
    <s v="No"/>
  </r>
  <r>
    <n v="409"/>
    <s v="ORD202500409"/>
    <s v="CUST6615"/>
    <x v="0"/>
    <n v="37"/>
    <x v="2"/>
    <s v="2025-03-03"/>
    <x v="0"/>
    <x v="2"/>
    <x v="2"/>
    <s v="SKU29327"/>
    <x v="1"/>
    <s v="L"/>
    <n v="4"/>
    <s v="INR"/>
    <n v="3642.1"/>
    <s v="Lucknow"/>
    <x v="4"/>
    <n v="226001"/>
    <s v="India"/>
    <s v="No"/>
  </r>
  <r>
    <n v="410"/>
    <s v="ORD202500410"/>
    <s v="CUST7462"/>
    <x v="0"/>
    <n v="35"/>
    <x v="2"/>
    <s v="2025-12-18"/>
    <x v="1"/>
    <x v="0"/>
    <x v="2"/>
    <s v="SKU32090"/>
    <x v="0"/>
    <s v="L"/>
    <n v="3"/>
    <s v="INR"/>
    <n v="299.68"/>
    <s v="Jaipur"/>
    <x v="2"/>
    <n v="302001"/>
    <s v="India"/>
    <s v="No"/>
  </r>
  <r>
    <n v="411"/>
    <s v="ORD202500411"/>
    <s v="CUST9287"/>
    <x v="0"/>
    <n v="52"/>
    <x v="0"/>
    <s v="2025-11-24"/>
    <x v="6"/>
    <x v="0"/>
    <x v="5"/>
    <s v="SKU67569"/>
    <x v="3"/>
    <s v="S"/>
    <n v="1"/>
    <s v="INR"/>
    <n v="3832.34"/>
    <s v="Jaipur"/>
    <x v="2"/>
    <n v="302001"/>
    <s v="India"/>
    <s v="No"/>
  </r>
  <r>
    <n v="412"/>
    <s v="ORD202500412"/>
    <s v="CUST6363"/>
    <x v="1"/>
    <n v="29"/>
    <x v="1"/>
    <s v="2025-06-17"/>
    <x v="3"/>
    <x v="3"/>
    <x v="4"/>
    <s v="SKU33261"/>
    <x v="4"/>
    <s v="M"/>
    <n v="1"/>
    <s v="INR"/>
    <n v="2496.12"/>
    <s v="Bengaluru"/>
    <x v="1"/>
    <n v="560001"/>
    <s v="India"/>
    <s v="Yes"/>
  </r>
  <r>
    <n v="413"/>
    <s v="ORD202500413"/>
    <s v="CUST1396"/>
    <x v="1"/>
    <n v="49"/>
    <x v="2"/>
    <s v="2025-07-19"/>
    <x v="9"/>
    <x v="0"/>
    <x v="0"/>
    <s v="SKU34393"/>
    <x v="4"/>
    <s v="L"/>
    <n v="3"/>
    <s v="INR"/>
    <n v="4611.79"/>
    <s v="Lucknow"/>
    <x v="4"/>
    <n v="226001"/>
    <s v="India"/>
    <s v="Yes"/>
  </r>
  <r>
    <n v="414"/>
    <s v="ORD202500414"/>
    <s v="CUST5398"/>
    <x v="0"/>
    <n v="55"/>
    <x v="0"/>
    <s v="2025-12-04"/>
    <x v="1"/>
    <x v="3"/>
    <x v="3"/>
    <s v="SKU80633"/>
    <x v="0"/>
    <s v="S"/>
    <n v="4"/>
    <s v="INR"/>
    <n v="4386.4399999999996"/>
    <s v="Bengaluru"/>
    <x v="1"/>
    <n v="560001"/>
    <s v="India"/>
    <s v="Yes"/>
  </r>
  <r>
    <n v="415"/>
    <s v="ORD202500415"/>
    <s v="CUST4910"/>
    <x v="0"/>
    <n v="59"/>
    <x v="0"/>
    <s v="2025-11-29"/>
    <x v="6"/>
    <x v="1"/>
    <x v="0"/>
    <s v="SKU47023"/>
    <x v="3"/>
    <s v="S"/>
    <n v="2"/>
    <s v="INR"/>
    <n v="3232.34"/>
    <s v="Jaipur"/>
    <x v="2"/>
    <n v="302001"/>
    <s v="India"/>
    <s v="Yes"/>
  </r>
  <r>
    <n v="416"/>
    <s v="ORD202500416"/>
    <s v="CUST6875"/>
    <x v="1"/>
    <n v="20"/>
    <x v="1"/>
    <s v="2025-12-11"/>
    <x v="1"/>
    <x v="0"/>
    <x v="4"/>
    <s v="SKU63432"/>
    <x v="1"/>
    <s v="XL"/>
    <n v="3"/>
    <s v="INR"/>
    <n v="3761.68"/>
    <s v="Delhi"/>
    <x v="3"/>
    <n v="110001"/>
    <s v="India"/>
    <s v="No"/>
  </r>
  <r>
    <n v="417"/>
    <s v="ORD202500417"/>
    <s v="CUST1135"/>
    <x v="0"/>
    <n v="40"/>
    <x v="2"/>
    <s v="2025-01-30"/>
    <x v="10"/>
    <x v="0"/>
    <x v="1"/>
    <s v="SKU89506"/>
    <x v="0"/>
    <s v="L"/>
    <n v="4"/>
    <s v="INR"/>
    <n v="2960"/>
    <s v="Delhi"/>
    <x v="3"/>
    <n v="110001"/>
    <s v="India"/>
    <s v="Yes"/>
  </r>
  <r>
    <n v="418"/>
    <s v="ORD202500418"/>
    <s v="CUST5190"/>
    <x v="1"/>
    <n v="35"/>
    <x v="2"/>
    <s v="2025-11-27"/>
    <x v="6"/>
    <x v="0"/>
    <x v="4"/>
    <s v="SKU91087"/>
    <x v="0"/>
    <s v="M"/>
    <n v="2"/>
    <s v="INR"/>
    <n v="3901.04"/>
    <s v="Mumbai"/>
    <x v="0"/>
    <n v="400001"/>
    <s v="India"/>
    <s v="Yes"/>
  </r>
  <r>
    <n v="419"/>
    <s v="ORD202500419"/>
    <s v="CUST6188"/>
    <x v="1"/>
    <n v="53"/>
    <x v="0"/>
    <s v="2025-08-22"/>
    <x v="5"/>
    <x v="2"/>
    <x v="3"/>
    <s v="SKU34210"/>
    <x v="2"/>
    <s v="S"/>
    <n v="2"/>
    <s v="INR"/>
    <n v="4876.29"/>
    <s v="Delhi"/>
    <x v="3"/>
    <n v="110001"/>
    <s v="India"/>
    <s v="Yes"/>
  </r>
  <r>
    <n v="420"/>
    <s v="ORD202500420"/>
    <s v="CUST8428"/>
    <x v="0"/>
    <n v="53"/>
    <x v="0"/>
    <s v="2025-12-26"/>
    <x v="1"/>
    <x v="2"/>
    <x v="3"/>
    <s v="SKU11275"/>
    <x v="5"/>
    <s v="M"/>
    <n v="5"/>
    <s v="INR"/>
    <n v="3222.01"/>
    <s v="Bengaluru"/>
    <x v="1"/>
    <n v="560001"/>
    <s v="India"/>
    <s v="Yes"/>
  </r>
  <r>
    <n v="421"/>
    <s v="ORD202500421"/>
    <s v="CUST7917"/>
    <x v="0"/>
    <n v="55"/>
    <x v="0"/>
    <s v="2025-10-11"/>
    <x v="4"/>
    <x v="3"/>
    <x v="5"/>
    <s v="SKU32369"/>
    <x v="4"/>
    <s v="XL"/>
    <n v="2"/>
    <s v="INR"/>
    <n v="3867.91"/>
    <s v="Delhi"/>
    <x v="3"/>
    <n v="110001"/>
    <s v="India"/>
    <s v="No"/>
  </r>
  <r>
    <n v="422"/>
    <s v="ORD202500422"/>
    <s v="CUST9428"/>
    <x v="1"/>
    <n v="41"/>
    <x v="2"/>
    <s v="2025-09-24"/>
    <x v="7"/>
    <x v="3"/>
    <x v="2"/>
    <s v="SKU19878"/>
    <x v="1"/>
    <s v="M"/>
    <n v="4"/>
    <s v="INR"/>
    <n v="1481.26"/>
    <s v="Delhi"/>
    <x v="3"/>
    <n v="110001"/>
    <s v="India"/>
    <s v="Yes"/>
  </r>
  <r>
    <n v="423"/>
    <s v="ORD202500423"/>
    <s v="CUST8188"/>
    <x v="0"/>
    <n v="38"/>
    <x v="2"/>
    <s v="2025-09-01"/>
    <x v="7"/>
    <x v="0"/>
    <x v="2"/>
    <s v="SKU69192"/>
    <x v="2"/>
    <s v="L"/>
    <n v="5"/>
    <s v="INR"/>
    <n v="1601.36"/>
    <s v="Mumbai"/>
    <x v="0"/>
    <n v="400001"/>
    <s v="India"/>
    <s v="Yes"/>
  </r>
  <r>
    <n v="424"/>
    <s v="ORD202500424"/>
    <s v="CUST6292"/>
    <x v="0"/>
    <n v="29"/>
    <x v="1"/>
    <s v="2025-01-02"/>
    <x v="10"/>
    <x v="0"/>
    <x v="1"/>
    <s v="SKU66407"/>
    <x v="2"/>
    <s v="M"/>
    <n v="3"/>
    <s v="INR"/>
    <n v="2447.58"/>
    <s v="Mumbai"/>
    <x v="0"/>
    <n v="400001"/>
    <s v="India"/>
    <s v="No"/>
  </r>
  <r>
    <n v="425"/>
    <s v="ORD202500425"/>
    <s v="CUST3554"/>
    <x v="0"/>
    <n v="27"/>
    <x v="1"/>
    <s v="2025-09-23"/>
    <x v="7"/>
    <x v="1"/>
    <x v="4"/>
    <s v="SKU27001"/>
    <x v="4"/>
    <s v="XL"/>
    <n v="5"/>
    <s v="INR"/>
    <n v="4315.75"/>
    <s v="Delhi"/>
    <x v="3"/>
    <n v="110001"/>
    <s v="India"/>
    <s v="No"/>
  </r>
  <r>
    <n v="426"/>
    <s v="ORD202500426"/>
    <s v="CUST3295"/>
    <x v="0"/>
    <n v="60"/>
    <x v="0"/>
    <s v="2025-08-12"/>
    <x v="5"/>
    <x v="0"/>
    <x v="1"/>
    <s v="SKU85301"/>
    <x v="5"/>
    <s v="M"/>
    <n v="4"/>
    <s v="INR"/>
    <n v="625"/>
    <s v="Mumbai"/>
    <x v="0"/>
    <n v="400001"/>
    <s v="India"/>
    <s v="No"/>
  </r>
  <r>
    <n v="427"/>
    <s v="ORD202500427"/>
    <s v="CUST4333"/>
    <x v="0"/>
    <n v="24"/>
    <x v="1"/>
    <s v="2025-04-04"/>
    <x v="11"/>
    <x v="3"/>
    <x v="5"/>
    <s v="SKU55093"/>
    <x v="0"/>
    <s v="S"/>
    <n v="2"/>
    <s v="INR"/>
    <n v="2220.34"/>
    <s v="Jaipur"/>
    <x v="2"/>
    <n v="302001"/>
    <s v="India"/>
    <s v="No"/>
  </r>
  <r>
    <n v="428"/>
    <s v="ORD202500428"/>
    <s v="CUST5442"/>
    <x v="0"/>
    <n v="35"/>
    <x v="2"/>
    <s v="2025-05-12"/>
    <x v="2"/>
    <x v="0"/>
    <x v="0"/>
    <s v="SKU24541"/>
    <x v="3"/>
    <s v="XL"/>
    <n v="4"/>
    <s v="INR"/>
    <n v="495.75"/>
    <s v="Delhi"/>
    <x v="3"/>
    <n v="110001"/>
    <s v="India"/>
    <s v="No"/>
  </r>
  <r>
    <n v="429"/>
    <s v="ORD202500429"/>
    <s v="CUST1451"/>
    <x v="0"/>
    <n v="23"/>
    <x v="1"/>
    <s v="2025-03-17"/>
    <x v="0"/>
    <x v="1"/>
    <x v="2"/>
    <s v="SKU39649"/>
    <x v="0"/>
    <s v="L"/>
    <n v="3"/>
    <s v="INR"/>
    <n v="4330.3999999999996"/>
    <s v="Mumbai"/>
    <x v="0"/>
    <n v="400001"/>
    <s v="India"/>
    <s v="Yes"/>
  </r>
  <r>
    <n v="430"/>
    <s v="ORD202500430"/>
    <s v="CUST2490"/>
    <x v="0"/>
    <n v="20"/>
    <x v="1"/>
    <s v="2025-05-14"/>
    <x v="2"/>
    <x v="1"/>
    <x v="1"/>
    <s v="SKU84948"/>
    <x v="4"/>
    <s v="S"/>
    <n v="5"/>
    <s v="INR"/>
    <n v="1640.55"/>
    <s v="Bengaluru"/>
    <x v="1"/>
    <n v="560001"/>
    <s v="India"/>
    <s v="No"/>
  </r>
  <r>
    <n v="431"/>
    <s v="ORD202500431"/>
    <s v="CUST4699"/>
    <x v="0"/>
    <n v="27"/>
    <x v="1"/>
    <s v="2025-07-16"/>
    <x v="9"/>
    <x v="2"/>
    <x v="2"/>
    <s v="SKU68868"/>
    <x v="5"/>
    <s v="M"/>
    <n v="3"/>
    <s v="INR"/>
    <n v="2037.35"/>
    <s v="Mumbai"/>
    <x v="0"/>
    <n v="400001"/>
    <s v="India"/>
    <s v="Yes"/>
  </r>
  <r>
    <n v="432"/>
    <s v="ORD202500432"/>
    <s v="CUST9409"/>
    <x v="0"/>
    <n v="29"/>
    <x v="1"/>
    <s v="2025-12-25"/>
    <x v="1"/>
    <x v="1"/>
    <x v="2"/>
    <s v="SKU59886"/>
    <x v="1"/>
    <s v="S"/>
    <n v="3"/>
    <s v="INR"/>
    <n v="1546.38"/>
    <s v="Delhi"/>
    <x v="3"/>
    <n v="110001"/>
    <s v="India"/>
    <s v="No"/>
  </r>
  <r>
    <n v="433"/>
    <s v="ORD202500433"/>
    <s v="CUST9330"/>
    <x v="0"/>
    <n v="28"/>
    <x v="1"/>
    <s v="2025-10-20"/>
    <x v="4"/>
    <x v="0"/>
    <x v="0"/>
    <s v="SKU47012"/>
    <x v="3"/>
    <s v="L"/>
    <n v="5"/>
    <s v="INR"/>
    <n v="2328.9899999999998"/>
    <s v="Mumbai"/>
    <x v="0"/>
    <n v="400001"/>
    <s v="India"/>
    <s v="No"/>
  </r>
  <r>
    <n v="434"/>
    <s v="ORD202500434"/>
    <s v="CUST8328"/>
    <x v="0"/>
    <n v="48"/>
    <x v="2"/>
    <s v="2025-08-09"/>
    <x v="5"/>
    <x v="2"/>
    <x v="5"/>
    <s v="SKU77982"/>
    <x v="3"/>
    <s v="S"/>
    <n v="4"/>
    <s v="INR"/>
    <n v="2795.06"/>
    <s v="Bengaluru"/>
    <x v="1"/>
    <n v="560001"/>
    <s v="India"/>
    <s v="No"/>
  </r>
  <r>
    <n v="435"/>
    <s v="ORD202500435"/>
    <s v="CUST1918"/>
    <x v="0"/>
    <n v="43"/>
    <x v="2"/>
    <s v="2025-08-14"/>
    <x v="5"/>
    <x v="2"/>
    <x v="5"/>
    <s v="SKU20998"/>
    <x v="0"/>
    <s v="M"/>
    <n v="2"/>
    <s v="INR"/>
    <n v="3815.77"/>
    <s v="Bengaluru"/>
    <x v="1"/>
    <n v="560001"/>
    <s v="India"/>
    <s v="Yes"/>
  </r>
  <r>
    <n v="436"/>
    <s v="ORD202500436"/>
    <s v="CUST3204"/>
    <x v="0"/>
    <n v="41"/>
    <x v="2"/>
    <s v="2025-05-03"/>
    <x v="2"/>
    <x v="0"/>
    <x v="3"/>
    <s v="SKU67384"/>
    <x v="3"/>
    <s v="XL"/>
    <n v="1"/>
    <s v="INR"/>
    <n v="4783.4399999999996"/>
    <s v="Lucknow"/>
    <x v="4"/>
    <n v="226001"/>
    <s v="India"/>
    <s v="No"/>
  </r>
  <r>
    <n v="437"/>
    <s v="ORD202500437"/>
    <s v="CUST8846"/>
    <x v="0"/>
    <n v="31"/>
    <x v="2"/>
    <s v="2025-08-12"/>
    <x v="5"/>
    <x v="2"/>
    <x v="2"/>
    <s v="SKU21733"/>
    <x v="1"/>
    <s v="M"/>
    <n v="3"/>
    <s v="INR"/>
    <n v="3405.05"/>
    <s v="Mumbai"/>
    <x v="0"/>
    <n v="400001"/>
    <s v="India"/>
    <s v="Yes"/>
  </r>
  <r>
    <n v="438"/>
    <s v="ORD202500438"/>
    <s v="CUST5494"/>
    <x v="1"/>
    <n v="41"/>
    <x v="2"/>
    <s v="2025-12-04"/>
    <x v="1"/>
    <x v="2"/>
    <x v="5"/>
    <s v="SKU72001"/>
    <x v="5"/>
    <s v="L"/>
    <n v="1"/>
    <s v="INR"/>
    <n v="3425.46"/>
    <s v="Mumbai"/>
    <x v="0"/>
    <n v="400001"/>
    <s v="India"/>
    <s v="No"/>
  </r>
  <r>
    <n v="439"/>
    <s v="ORD202500439"/>
    <s v="CUST9437"/>
    <x v="0"/>
    <n v="41"/>
    <x v="2"/>
    <s v="2025-10-20"/>
    <x v="4"/>
    <x v="1"/>
    <x v="5"/>
    <s v="SKU13802"/>
    <x v="0"/>
    <s v="L"/>
    <n v="3"/>
    <s v="INR"/>
    <n v="2878.2"/>
    <s v="Bengaluru"/>
    <x v="1"/>
    <n v="560001"/>
    <s v="India"/>
    <s v="Yes"/>
  </r>
  <r>
    <n v="440"/>
    <s v="ORD202500440"/>
    <s v="CUST6276"/>
    <x v="0"/>
    <n v="26"/>
    <x v="1"/>
    <s v="2025-04-28"/>
    <x v="11"/>
    <x v="3"/>
    <x v="2"/>
    <s v="SKU12143"/>
    <x v="4"/>
    <s v="L"/>
    <n v="2"/>
    <s v="INR"/>
    <n v="372"/>
    <s v="Jaipur"/>
    <x v="2"/>
    <n v="302001"/>
    <s v="India"/>
    <s v="No"/>
  </r>
  <r>
    <n v="441"/>
    <s v="ORD202500441"/>
    <s v="CUST9310"/>
    <x v="0"/>
    <n v="49"/>
    <x v="2"/>
    <s v="2025-12-06"/>
    <x v="1"/>
    <x v="0"/>
    <x v="4"/>
    <s v="SKU32342"/>
    <x v="1"/>
    <s v="S"/>
    <n v="5"/>
    <s v="INR"/>
    <n v="1140.79"/>
    <s v="Mumbai"/>
    <x v="0"/>
    <n v="400001"/>
    <s v="India"/>
    <s v="Yes"/>
  </r>
  <r>
    <n v="442"/>
    <s v="ORD202500442"/>
    <s v="CUST5227"/>
    <x v="1"/>
    <n v="24"/>
    <x v="1"/>
    <s v="2025-01-28"/>
    <x v="10"/>
    <x v="2"/>
    <x v="0"/>
    <s v="SKU72432"/>
    <x v="1"/>
    <s v="M"/>
    <n v="2"/>
    <s v="INR"/>
    <n v="4937.57"/>
    <s v="Lucknow"/>
    <x v="4"/>
    <n v="226001"/>
    <s v="India"/>
    <s v="No"/>
  </r>
  <r>
    <n v="443"/>
    <s v="ORD202500443"/>
    <s v="CUST7486"/>
    <x v="1"/>
    <n v="59"/>
    <x v="0"/>
    <s v="2025-04-07"/>
    <x v="11"/>
    <x v="2"/>
    <x v="5"/>
    <s v="SKU35529"/>
    <x v="4"/>
    <s v="XL"/>
    <n v="5"/>
    <s v="INR"/>
    <n v="1038.3399999999999"/>
    <s v="Jaipur"/>
    <x v="2"/>
    <n v="302001"/>
    <s v="India"/>
    <s v="Yes"/>
  </r>
  <r>
    <n v="444"/>
    <s v="ORD202500444"/>
    <s v="CUST6166"/>
    <x v="0"/>
    <n v="42"/>
    <x v="2"/>
    <s v="2025-02-15"/>
    <x v="8"/>
    <x v="0"/>
    <x v="1"/>
    <s v="SKU94852"/>
    <x v="5"/>
    <s v="S"/>
    <n v="3"/>
    <s v="INR"/>
    <n v="3556.39"/>
    <s v="Bengaluru"/>
    <x v="1"/>
    <n v="560001"/>
    <s v="India"/>
    <s v="Yes"/>
  </r>
  <r>
    <n v="445"/>
    <s v="ORD202500445"/>
    <s v="CUST6464"/>
    <x v="0"/>
    <n v="18"/>
    <x v="1"/>
    <s v="2025-02-18"/>
    <x v="8"/>
    <x v="2"/>
    <x v="0"/>
    <s v="SKU26900"/>
    <x v="2"/>
    <s v="M"/>
    <n v="5"/>
    <s v="INR"/>
    <n v="4691.24"/>
    <s v="Jaipur"/>
    <x v="2"/>
    <n v="302001"/>
    <s v="India"/>
    <s v="No"/>
  </r>
  <r>
    <n v="446"/>
    <s v="ORD202500446"/>
    <s v="CUST2702"/>
    <x v="0"/>
    <n v="59"/>
    <x v="0"/>
    <s v="2025-03-26"/>
    <x v="0"/>
    <x v="1"/>
    <x v="0"/>
    <s v="SKU68508"/>
    <x v="1"/>
    <s v="L"/>
    <n v="4"/>
    <s v="INR"/>
    <n v="1564.69"/>
    <s v="Lucknow"/>
    <x v="4"/>
    <n v="226001"/>
    <s v="India"/>
    <s v="No"/>
  </r>
  <r>
    <n v="447"/>
    <s v="ORD202500447"/>
    <s v="CUST4779"/>
    <x v="0"/>
    <n v="36"/>
    <x v="2"/>
    <s v="2025-09-14"/>
    <x v="7"/>
    <x v="3"/>
    <x v="3"/>
    <s v="SKU45252"/>
    <x v="0"/>
    <s v="XL"/>
    <n v="4"/>
    <s v="INR"/>
    <n v="4454.1499999999996"/>
    <s v="Mumbai"/>
    <x v="0"/>
    <n v="400001"/>
    <s v="India"/>
    <s v="No"/>
  </r>
  <r>
    <n v="448"/>
    <s v="ORD202500448"/>
    <s v="CUST1132"/>
    <x v="1"/>
    <n v="60"/>
    <x v="0"/>
    <s v="2025-10-31"/>
    <x v="4"/>
    <x v="1"/>
    <x v="2"/>
    <s v="SKU83644"/>
    <x v="1"/>
    <s v="M"/>
    <n v="3"/>
    <s v="INR"/>
    <n v="623.66"/>
    <s v="Jaipur"/>
    <x v="2"/>
    <n v="302001"/>
    <s v="India"/>
    <s v="No"/>
  </r>
  <r>
    <n v="449"/>
    <s v="ORD202500449"/>
    <s v="CUST8320"/>
    <x v="0"/>
    <n v="55"/>
    <x v="0"/>
    <s v="2025-09-29"/>
    <x v="7"/>
    <x v="2"/>
    <x v="2"/>
    <s v="SKU64413"/>
    <x v="1"/>
    <s v="XL"/>
    <n v="4"/>
    <s v="INR"/>
    <n v="4607.63"/>
    <s v="Mumbai"/>
    <x v="0"/>
    <n v="400001"/>
    <s v="India"/>
    <s v="Yes"/>
  </r>
  <r>
    <n v="450"/>
    <s v="ORD202500450"/>
    <s v="CUST5395"/>
    <x v="1"/>
    <n v="42"/>
    <x v="2"/>
    <s v="2025-09-26"/>
    <x v="7"/>
    <x v="0"/>
    <x v="4"/>
    <s v="SKU11237"/>
    <x v="3"/>
    <s v="M"/>
    <n v="5"/>
    <s v="INR"/>
    <n v="649.11"/>
    <s v="Lucknow"/>
    <x v="4"/>
    <n v="226001"/>
    <s v="India"/>
    <s v="No"/>
  </r>
  <r>
    <n v="451"/>
    <s v="ORD202500451"/>
    <s v="CUST5645"/>
    <x v="1"/>
    <n v="36"/>
    <x v="2"/>
    <s v="2025-07-15"/>
    <x v="9"/>
    <x v="0"/>
    <x v="2"/>
    <s v="SKU98267"/>
    <x v="4"/>
    <s v="M"/>
    <n v="4"/>
    <s v="INR"/>
    <n v="1100.73"/>
    <s v="Jaipur"/>
    <x v="2"/>
    <n v="302001"/>
    <s v="India"/>
    <s v="No"/>
  </r>
  <r>
    <n v="452"/>
    <s v="ORD202500452"/>
    <s v="CUST1782"/>
    <x v="1"/>
    <n v="37"/>
    <x v="2"/>
    <s v="2025-03-17"/>
    <x v="0"/>
    <x v="0"/>
    <x v="2"/>
    <s v="SKU68547"/>
    <x v="3"/>
    <s v="S"/>
    <n v="3"/>
    <s v="INR"/>
    <n v="2412.27"/>
    <s v="Delhi"/>
    <x v="3"/>
    <n v="110001"/>
    <s v="India"/>
    <s v="Yes"/>
  </r>
  <r>
    <n v="453"/>
    <s v="ORD202500453"/>
    <s v="CUST7750"/>
    <x v="1"/>
    <n v="60"/>
    <x v="0"/>
    <s v="2025-09-16"/>
    <x v="7"/>
    <x v="1"/>
    <x v="4"/>
    <s v="SKU95436"/>
    <x v="3"/>
    <s v="XL"/>
    <n v="5"/>
    <s v="INR"/>
    <n v="3620.33"/>
    <s v="Bengaluru"/>
    <x v="1"/>
    <n v="560001"/>
    <s v="India"/>
    <s v="Yes"/>
  </r>
  <r>
    <n v="454"/>
    <s v="ORD202500454"/>
    <s v="CUST3239"/>
    <x v="1"/>
    <n v="26"/>
    <x v="1"/>
    <s v="2025-02-18"/>
    <x v="8"/>
    <x v="0"/>
    <x v="2"/>
    <s v="SKU92197"/>
    <x v="4"/>
    <s v="M"/>
    <n v="2"/>
    <s v="INR"/>
    <n v="2610.34"/>
    <s v="Lucknow"/>
    <x v="4"/>
    <n v="226001"/>
    <s v="India"/>
    <s v="No"/>
  </r>
  <r>
    <n v="455"/>
    <s v="ORD202500455"/>
    <s v="CUST4771"/>
    <x v="0"/>
    <n v="20"/>
    <x v="1"/>
    <s v="2025-08-05"/>
    <x v="5"/>
    <x v="0"/>
    <x v="1"/>
    <s v="SKU38741"/>
    <x v="2"/>
    <s v="S"/>
    <n v="4"/>
    <s v="INR"/>
    <n v="774.56"/>
    <s v="Jaipur"/>
    <x v="2"/>
    <n v="302001"/>
    <s v="India"/>
    <s v="Yes"/>
  </r>
  <r>
    <n v="456"/>
    <s v="ORD202500456"/>
    <s v="CUST4738"/>
    <x v="1"/>
    <n v="41"/>
    <x v="2"/>
    <s v="2025-12-21"/>
    <x v="1"/>
    <x v="3"/>
    <x v="4"/>
    <s v="SKU37675"/>
    <x v="2"/>
    <s v="L"/>
    <n v="3"/>
    <s v="INR"/>
    <n v="467.51"/>
    <s v="Mumbai"/>
    <x v="0"/>
    <n v="400001"/>
    <s v="India"/>
    <s v="Yes"/>
  </r>
  <r>
    <n v="457"/>
    <s v="ORD202500457"/>
    <s v="CUST5734"/>
    <x v="0"/>
    <n v="21"/>
    <x v="1"/>
    <s v="2025-12-25"/>
    <x v="1"/>
    <x v="3"/>
    <x v="5"/>
    <s v="SKU24508"/>
    <x v="1"/>
    <s v="XL"/>
    <n v="5"/>
    <s v="INR"/>
    <n v="3586.7"/>
    <s v="Jaipur"/>
    <x v="2"/>
    <n v="302001"/>
    <s v="India"/>
    <s v="Yes"/>
  </r>
  <r>
    <n v="458"/>
    <s v="ORD202500458"/>
    <s v="CUST4916"/>
    <x v="1"/>
    <n v="51"/>
    <x v="0"/>
    <s v="2025-07-19"/>
    <x v="9"/>
    <x v="3"/>
    <x v="1"/>
    <s v="SKU25139"/>
    <x v="3"/>
    <s v="L"/>
    <n v="3"/>
    <s v="INR"/>
    <n v="3110.96"/>
    <s v="Lucknow"/>
    <x v="4"/>
    <n v="226001"/>
    <s v="India"/>
    <s v="Yes"/>
  </r>
  <r>
    <n v="459"/>
    <s v="ORD202500459"/>
    <s v="CUST3147"/>
    <x v="0"/>
    <n v="54"/>
    <x v="0"/>
    <s v="2025-01-04"/>
    <x v="10"/>
    <x v="2"/>
    <x v="1"/>
    <s v="SKU77891"/>
    <x v="4"/>
    <s v="XL"/>
    <n v="4"/>
    <s v="INR"/>
    <n v="1358.61"/>
    <s v="Delhi"/>
    <x v="3"/>
    <n v="110001"/>
    <s v="India"/>
    <s v="Yes"/>
  </r>
  <r>
    <n v="460"/>
    <s v="ORD202500460"/>
    <s v="CUST1670"/>
    <x v="0"/>
    <n v="24"/>
    <x v="1"/>
    <s v="2025-01-17"/>
    <x v="10"/>
    <x v="1"/>
    <x v="1"/>
    <s v="SKU20284"/>
    <x v="3"/>
    <s v="M"/>
    <n v="5"/>
    <s v="INR"/>
    <n v="2210.5300000000002"/>
    <s v="Mumbai"/>
    <x v="0"/>
    <n v="400001"/>
    <s v="India"/>
    <s v="No"/>
  </r>
  <r>
    <n v="461"/>
    <s v="ORD202500461"/>
    <s v="CUST6795"/>
    <x v="1"/>
    <n v="40"/>
    <x v="2"/>
    <s v="2025-01-01"/>
    <x v="10"/>
    <x v="3"/>
    <x v="1"/>
    <s v="SKU51703"/>
    <x v="2"/>
    <s v="S"/>
    <n v="2"/>
    <s v="INR"/>
    <n v="4578.6899999999996"/>
    <s v="Jaipur"/>
    <x v="2"/>
    <n v="302001"/>
    <s v="India"/>
    <s v="Yes"/>
  </r>
  <r>
    <n v="462"/>
    <s v="ORD202500462"/>
    <s v="CUST5401"/>
    <x v="0"/>
    <n v="53"/>
    <x v="0"/>
    <s v="2025-07-04"/>
    <x v="9"/>
    <x v="0"/>
    <x v="1"/>
    <s v="SKU12273"/>
    <x v="3"/>
    <s v="L"/>
    <n v="3"/>
    <s v="INR"/>
    <n v="2496.5"/>
    <s v="Lucknow"/>
    <x v="4"/>
    <n v="226001"/>
    <s v="India"/>
    <s v="No"/>
  </r>
  <r>
    <n v="463"/>
    <s v="ORD202500463"/>
    <s v="CUST3491"/>
    <x v="0"/>
    <n v="59"/>
    <x v="0"/>
    <s v="2025-03-05"/>
    <x v="0"/>
    <x v="3"/>
    <x v="1"/>
    <s v="SKU12390"/>
    <x v="1"/>
    <s v="L"/>
    <n v="1"/>
    <s v="INR"/>
    <n v="3753.21"/>
    <s v="Mumbai"/>
    <x v="0"/>
    <n v="400001"/>
    <s v="India"/>
    <s v="Yes"/>
  </r>
  <r>
    <n v="464"/>
    <s v="ORD202500464"/>
    <s v="CUST1671"/>
    <x v="1"/>
    <n v="53"/>
    <x v="0"/>
    <s v="2025-11-12"/>
    <x v="6"/>
    <x v="3"/>
    <x v="1"/>
    <s v="SKU17176"/>
    <x v="5"/>
    <s v="XL"/>
    <n v="3"/>
    <s v="INR"/>
    <n v="1010.24"/>
    <s v="Bengaluru"/>
    <x v="1"/>
    <n v="560001"/>
    <s v="India"/>
    <s v="No"/>
  </r>
  <r>
    <n v="465"/>
    <s v="ORD202500465"/>
    <s v="CUST2692"/>
    <x v="0"/>
    <n v="55"/>
    <x v="0"/>
    <s v="2025-06-10"/>
    <x v="3"/>
    <x v="3"/>
    <x v="1"/>
    <s v="SKU60476"/>
    <x v="3"/>
    <s v="XL"/>
    <n v="3"/>
    <s v="INR"/>
    <n v="3897.41"/>
    <s v="Mumbai"/>
    <x v="0"/>
    <n v="400001"/>
    <s v="India"/>
    <s v="Yes"/>
  </r>
  <r>
    <n v="466"/>
    <s v="ORD202500466"/>
    <s v="CUST2934"/>
    <x v="1"/>
    <n v="23"/>
    <x v="1"/>
    <s v="2025-03-25"/>
    <x v="0"/>
    <x v="1"/>
    <x v="1"/>
    <s v="SKU67124"/>
    <x v="3"/>
    <s v="XL"/>
    <n v="1"/>
    <s v="INR"/>
    <n v="1775.79"/>
    <s v="Lucknow"/>
    <x v="4"/>
    <n v="226001"/>
    <s v="India"/>
    <s v="Yes"/>
  </r>
  <r>
    <n v="467"/>
    <s v="ORD202500467"/>
    <s v="CUST9827"/>
    <x v="0"/>
    <n v="39"/>
    <x v="2"/>
    <s v="2025-03-26"/>
    <x v="0"/>
    <x v="2"/>
    <x v="1"/>
    <s v="SKU30959"/>
    <x v="5"/>
    <s v="XL"/>
    <n v="4"/>
    <s v="INR"/>
    <n v="2667.52"/>
    <s v="Jaipur"/>
    <x v="2"/>
    <n v="302001"/>
    <s v="India"/>
    <s v="Yes"/>
  </r>
  <r>
    <n v="468"/>
    <s v="ORD202500468"/>
    <s v="CUST4415"/>
    <x v="1"/>
    <n v="49"/>
    <x v="2"/>
    <s v="2025-04-27"/>
    <x v="11"/>
    <x v="1"/>
    <x v="1"/>
    <s v="SKU34687"/>
    <x v="2"/>
    <s v="XL"/>
    <n v="4"/>
    <s v="INR"/>
    <n v="1963.7"/>
    <s v="Delhi"/>
    <x v="3"/>
    <n v="110001"/>
    <s v="India"/>
    <s v="No"/>
  </r>
  <r>
    <n v="469"/>
    <s v="ORD202500469"/>
    <s v="CUST2144"/>
    <x v="1"/>
    <n v="50"/>
    <x v="0"/>
    <s v="2025-08-02"/>
    <x v="5"/>
    <x v="1"/>
    <x v="1"/>
    <s v="SKU54623"/>
    <x v="1"/>
    <s v="XL"/>
    <n v="3"/>
    <s v="INR"/>
    <n v="3774.31"/>
    <s v="Mumbai"/>
    <x v="0"/>
    <n v="400001"/>
    <s v="India"/>
    <s v="Yes"/>
  </r>
  <r>
    <n v="470"/>
    <s v="ORD202500470"/>
    <s v="CUST4842"/>
    <x v="0"/>
    <n v="22"/>
    <x v="1"/>
    <s v="2025-11-25"/>
    <x v="6"/>
    <x v="1"/>
    <x v="1"/>
    <s v="SKU48119"/>
    <x v="4"/>
    <s v="S"/>
    <n v="2"/>
    <s v="INR"/>
    <n v="1675.09"/>
    <s v="Bengaluru"/>
    <x v="1"/>
    <n v="560001"/>
    <s v="India"/>
    <s v="No"/>
  </r>
  <r>
    <n v="471"/>
    <s v="ORD202500471"/>
    <s v="CUST4391"/>
    <x v="1"/>
    <n v="26"/>
    <x v="1"/>
    <s v="2025-08-23"/>
    <x v="5"/>
    <x v="3"/>
    <x v="1"/>
    <s v="SKU69666"/>
    <x v="1"/>
    <s v="XL"/>
    <n v="1"/>
    <s v="INR"/>
    <n v="430.96"/>
    <s v="Bengaluru"/>
    <x v="1"/>
    <n v="560001"/>
    <s v="India"/>
    <s v="Yes"/>
  </r>
  <r>
    <n v="472"/>
    <s v="ORD202500472"/>
    <s v="CUST1528"/>
    <x v="1"/>
    <n v="39"/>
    <x v="2"/>
    <s v="2025-05-20"/>
    <x v="2"/>
    <x v="2"/>
    <x v="1"/>
    <s v="SKU34916"/>
    <x v="2"/>
    <s v="XL"/>
    <n v="1"/>
    <s v="INR"/>
    <n v="4099.83"/>
    <s v="Lucknow"/>
    <x v="4"/>
    <n v="226001"/>
    <s v="India"/>
    <s v="Yes"/>
  </r>
  <r>
    <n v="473"/>
    <s v="ORD202500473"/>
    <s v="CUST3437"/>
    <x v="1"/>
    <n v="31"/>
    <x v="2"/>
    <s v="2025-06-17"/>
    <x v="3"/>
    <x v="2"/>
    <x v="1"/>
    <s v="SKU15730"/>
    <x v="3"/>
    <s v="XL"/>
    <n v="5"/>
    <s v="INR"/>
    <n v="3207.21"/>
    <s v="Mumbai"/>
    <x v="0"/>
    <n v="400001"/>
    <s v="India"/>
    <s v="No"/>
  </r>
  <r>
    <n v="474"/>
    <s v="ORD202500474"/>
    <s v="CUST2589"/>
    <x v="0"/>
    <n v="45"/>
    <x v="2"/>
    <s v="2025-01-06"/>
    <x v="10"/>
    <x v="1"/>
    <x v="1"/>
    <s v="SKU95372"/>
    <x v="2"/>
    <s v="M"/>
    <n v="2"/>
    <s v="INR"/>
    <n v="4984.58"/>
    <s v="Mumbai"/>
    <x v="0"/>
    <n v="400001"/>
    <s v="India"/>
    <s v="No"/>
  </r>
  <r>
    <n v="475"/>
    <s v="ORD202500475"/>
    <s v="CUST5344"/>
    <x v="1"/>
    <n v="29"/>
    <x v="1"/>
    <s v="2025-07-12"/>
    <x v="9"/>
    <x v="3"/>
    <x v="1"/>
    <s v="SKU73099"/>
    <x v="0"/>
    <s v="S"/>
    <n v="1"/>
    <s v="INR"/>
    <n v="4908.6000000000004"/>
    <s v="Mumbai"/>
    <x v="0"/>
    <n v="400001"/>
    <s v="India"/>
    <s v="Yes"/>
  </r>
  <r>
    <n v="476"/>
    <s v="ORD202500476"/>
    <s v="CUST7527"/>
    <x v="0"/>
    <n v="57"/>
    <x v="0"/>
    <s v="2025-02-15"/>
    <x v="8"/>
    <x v="2"/>
    <x v="1"/>
    <s v="SKU30056"/>
    <x v="3"/>
    <s v="XL"/>
    <n v="2"/>
    <s v="INR"/>
    <n v="2299.15"/>
    <s v="Delhi"/>
    <x v="3"/>
    <n v="110001"/>
    <s v="India"/>
    <s v="Yes"/>
  </r>
  <r>
    <n v="477"/>
    <s v="ORD202500477"/>
    <s v="CUST6637"/>
    <x v="0"/>
    <n v="24"/>
    <x v="1"/>
    <s v="2025-01-27"/>
    <x v="10"/>
    <x v="0"/>
    <x v="1"/>
    <s v="SKU15769"/>
    <x v="3"/>
    <s v="M"/>
    <n v="2"/>
    <s v="INR"/>
    <n v="3062.1"/>
    <s v="Jaipur"/>
    <x v="2"/>
    <n v="302001"/>
    <s v="India"/>
    <s v="Yes"/>
  </r>
  <r>
    <n v="478"/>
    <s v="ORD202500478"/>
    <s v="CUST2833"/>
    <x v="0"/>
    <n v="28"/>
    <x v="1"/>
    <s v="2025-05-31"/>
    <x v="2"/>
    <x v="1"/>
    <x v="1"/>
    <s v="SKU20967"/>
    <x v="1"/>
    <s v="L"/>
    <n v="1"/>
    <s v="INR"/>
    <n v="1389.24"/>
    <s v="Mumbai"/>
    <x v="0"/>
    <n v="400001"/>
    <s v="India"/>
    <s v="No"/>
  </r>
  <r>
    <n v="479"/>
    <s v="ORD202500479"/>
    <s v="CUST9299"/>
    <x v="0"/>
    <n v="56"/>
    <x v="0"/>
    <s v="2025-07-28"/>
    <x v="9"/>
    <x v="3"/>
    <x v="1"/>
    <s v="SKU40531"/>
    <x v="0"/>
    <s v="XL"/>
    <n v="4"/>
    <s v="INR"/>
    <n v="753.67"/>
    <s v="Bengaluru"/>
    <x v="1"/>
    <n v="560001"/>
    <s v="India"/>
    <s v="No"/>
  </r>
  <r>
    <n v="480"/>
    <s v="ORD202500480"/>
    <s v="CUST9665"/>
    <x v="0"/>
    <n v="54"/>
    <x v="0"/>
    <s v="2025-12-14"/>
    <x v="1"/>
    <x v="2"/>
    <x v="3"/>
    <s v="SKU68795"/>
    <x v="0"/>
    <s v="L"/>
    <n v="1"/>
    <s v="INR"/>
    <n v="3054.63"/>
    <s v="Lucknow"/>
    <x v="4"/>
    <n v="226001"/>
    <s v="India"/>
    <s v="Yes"/>
  </r>
  <r>
    <n v="481"/>
    <s v="ORD202500481"/>
    <s v="CUST7511"/>
    <x v="0"/>
    <n v="45"/>
    <x v="2"/>
    <s v="2025-08-24"/>
    <x v="5"/>
    <x v="0"/>
    <x v="4"/>
    <s v="SKU84458"/>
    <x v="3"/>
    <s v="M"/>
    <n v="2"/>
    <s v="INR"/>
    <n v="3635.11"/>
    <s v="Delhi"/>
    <x v="3"/>
    <n v="110001"/>
    <s v="India"/>
    <s v="No"/>
  </r>
  <r>
    <n v="482"/>
    <s v="ORD202500482"/>
    <s v="CUST7999"/>
    <x v="0"/>
    <n v="38"/>
    <x v="2"/>
    <s v="2025-06-17"/>
    <x v="3"/>
    <x v="0"/>
    <x v="4"/>
    <s v="SKU34590"/>
    <x v="5"/>
    <s v="M"/>
    <n v="5"/>
    <s v="INR"/>
    <n v="4995.47"/>
    <s v="Bengaluru"/>
    <x v="1"/>
    <n v="560001"/>
    <s v="India"/>
    <s v="Yes"/>
  </r>
  <r>
    <n v="483"/>
    <s v="ORD202500483"/>
    <s v="CUST3791"/>
    <x v="0"/>
    <n v="49"/>
    <x v="2"/>
    <s v="2025-06-10"/>
    <x v="3"/>
    <x v="3"/>
    <x v="0"/>
    <s v="SKU66228"/>
    <x v="0"/>
    <s v="M"/>
    <n v="3"/>
    <s v="INR"/>
    <n v="3696.79"/>
    <s v="Lucknow"/>
    <x v="4"/>
    <n v="226001"/>
    <s v="India"/>
    <s v="Yes"/>
  </r>
  <r>
    <n v="484"/>
    <s v="ORD202500484"/>
    <s v="CUST7817"/>
    <x v="0"/>
    <n v="30"/>
    <x v="2"/>
    <s v="2025-06-05"/>
    <x v="3"/>
    <x v="2"/>
    <x v="0"/>
    <s v="SKU71356"/>
    <x v="1"/>
    <s v="M"/>
    <n v="5"/>
    <s v="INR"/>
    <n v="4149.03"/>
    <s v="Bengaluru"/>
    <x v="1"/>
    <n v="560001"/>
    <s v="India"/>
    <s v="No"/>
  </r>
  <r>
    <n v="485"/>
    <s v="ORD202500485"/>
    <s v="CUST6384"/>
    <x v="0"/>
    <n v="46"/>
    <x v="2"/>
    <s v="2025-01-05"/>
    <x v="10"/>
    <x v="0"/>
    <x v="2"/>
    <s v="SKU54327"/>
    <x v="3"/>
    <s v="L"/>
    <n v="3"/>
    <s v="INR"/>
    <n v="2943.5"/>
    <s v="Mumbai"/>
    <x v="0"/>
    <n v="400001"/>
    <s v="India"/>
    <s v="Yes"/>
  </r>
  <r>
    <n v="486"/>
    <s v="ORD202500486"/>
    <s v="CUST9157"/>
    <x v="0"/>
    <n v="35"/>
    <x v="2"/>
    <s v="2025-08-14"/>
    <x v="5"/>
    <x v="3"/>
    <x v="2"/>
    <s v="SKU56815"/>
    <x v="3"/>
    <s v="M"/>
    <n v="3"/>
    <s v="INR"/>
    <n v="1135.45"/>
    <s v="Lucknow"/>
    <x v="4"/>
    <n v="226001"/>
    <s v="India"/>
    <s v="Yes"/>
  </r>
  <r>
    <n v="487"/>
    <s v="ORD202500487"/>
    <s v="CUST2022"/>
    <x v="0"/>
    <n v="39"/>
    <x v="2"/>
    <s v="2025-07-15"/>
    <x v="9"/>
    <x v="3"/>
    <x v="2"/>
    <s v="SKU67213"/>
    <x v="1"/>
    <s v="L"/>
    <n v="4"/>
    <s v="INR"/>
    <n v="904.06"/>
    <s v="Jaipur"/>
    <x v="2"/>
    <n v="302001"/>
    <s v="India"/>
    <s v="Yes"/>
  </r>
  <r>
    <n v="488"/>
    <s v="ORD202500488"/>
    <s v="CUST9736"/>
    <x v="0"/>
    <n v="23"/>
    <x v="1"/>
    <s v="2025-09-23"/>
    <x v="7"/>
    <x v="0"/>
    <x v="2"/>
    <s v="SKU70250"/>
    <x v="3"/>
    <s v="M"/>
    <n v="2"/>
    <s v="INR"/>
    <n v="4343.24"/>
    <s v="Delhi"/>
    <x v="3"/>
    <n v="110001"/>
    <s v="India"/>
    <s v="No"/>
  </r>
  <r>
    <n v="489"/>
    <s v="ORD202500489"/>
    <s v="CUST7713"/>
    <x v="0"/>
    <n v="38"/>
    <x v="2"/>
    <s v="2025-09-25"/>
    <x v="7"/>
    <x v="3"/>
    <x v="2"/>
    <s v="SKU16029"/>
    <x v="0"/>
    <s v="S"/>
    <n v="3"/>
    <s v="INR"/>
    <n v="4948.7700000000004"/>
    <s v="Lucknow"/>
    <x v="3"/>
    <n v="226001"/>
    <s v="India"/>
    <s v="No"/>
  </r>
  <r>
    <n v="490"/>
    <s v="ORD202500490"/>
    <s v="CUST3366"/>
    <x v="0"/>
    <n v="49"/>
    <x v="2"/>
    <s v="2025-10-29"/>
    <x v="4"/>
    <x v="1"/>
    <x v="2"/>
    <s v="SKU33895"/>
    <x v="3"/>
    <s v="XL"/>
    <n v="2"/>
    <s v="INR"/>
    <n v="965.48"/>
    <s v="Lucknow"/>
    <x v="3"/>
    <n v="226001"/>
    <s v="India"/>
    <s v="No"/>
  </r>
  <r>
    <n v="491"/>
    <s v="ORD202500491"/>
    <s v="CUST9152"/>
    <x v="0"/>
    <n v="34"/>
    <x v="2"/>
    <s v="2025-02-03"/>
    <x v="8"/>
    <x v="1"/>
    <x v="2"/>
    <s v="SKU74511"/>
    <x v="2"/>
    <s v="L"/>
    <n v="1"/>
    <s v="INR"/>
    <n v="3856.37"/>
    <s v="Lucknow"/>
    <x v="3"/>
    <n v="226001"/>
    <s v="India"/>
    <s v="No"/>
  </r>
  <r>
    <n v="492"/>
    <s v="ORD202500492"/>
    <s v="CUST6922"/>
    <x v="0"/>
    <n v="23"/>
    <x v="1"/>
    <s v="2025-06-26"/>
    <x v="3"/>
    <x v="1"/>
    <x v="2"/>
    <s v="SKU94299"/>
    <x v="1"/>
    <s v="M"/>
    <n v="3"/>
    <s v="INR"/>
    <n v="3648.74"/>
    <s v="Mumbai"/>
    <x v="0"/>
    <n v="400001"/>
    <s v="India"/>
    <s v="Yes"/>
  </r>
  <r>
    <n v="493"/>
    <s v="ORD202500493"/>
    <s v="CUST2598"/>
    <x v="0"/>
    <n v="60"/>
    <x v="0"/>
    <s v="2025-03-13"/>
    <x v="0"/>
    <x v="0"/>
    <x v="2"/>
    <s v="SKU15197"/>
    <x v="1"/>
    <s v="S"/>
    <n v="4"/>
    <s v="INR"/>
    <n v="448.33"/>
    <s v="Bengaluru"/>
    <x v="1"/>
    <n v="560001"/>
    <s v="India"/>
    <s v="Yes"/>
  </r>
  <r>
    <n v="494"/>
    <s v="ORD202500494"/>
    <s v="CUST8910"/>
    <x v="0"/>
    <n v="35"/>
    <x v="2"/>
    <s v="2025-11-14"/>
    <x v="6"/>
    <x v="3"/>
    <x v="2"/>
    <s v="SKU36143"/>
    <x v="4"/>
    <s v="L"/>
    <n v="5"/>
    <s v="INR"/>
    <n v="4282.5600000000004"/>
    <s v="Mumbai"/>
    <x v="0"/>
    <n v="400001"/>
    <s v="India"/>
    <s v="Yes"/>
  </r>
  <r>
    <n v="495"/>
    <s v="ORD202500495"/>
    <s v="CUST7689"/>
    <x v="0"/>
    <n v="32"/>
    <x v="2"/>
    <s v="2025-05-01"/>
    <x v="2"/>
    <x v="3"/>
    <x v="2"/>
    <s v="SKU86805"/>
    <x v="2"/>
    <s v="S"/>
    <n v="3"/>
    <s v="INR"/>
    <n v="2245.11"/>
    <s v="Lucknow"/>
    <x v="4"/>
    <n v="226001"/>
    <s v="India"/>
    <s v="No"/>
  </r>
  <r>
    <n v="496"/>
    <s v="ORD202500496"/>
    <s v="CUST6529"/>
    <x v="0"/>
    <n v="56"/>
    <x v="0"/>
    <s v="2025-02-04"/>
    <x v="8"/>
    <x v="3"/>
    <x v="2"/>
    <s v="SKU83144"/>
    <x v="3"/>
    <s v="M"/>
    <n v="4"/>
    <s v="INR"/>
    <n v="4419.9399999999996"/>
    <s v="Bengaluru"/>
    <x v="1"/>
    <n v="560001"/>
    <s v="India"/>
    <s v="Yes"/>
  </r>
  <r>
    <n v="497"/>
    <s v="ORD202500497"/>
    <s v="CUST7610"/>
    <x v="1"/>
    <n v="34"/>
    <x v="2"/>
    <s v="2025-10-22"/>
    <x v="4"/>
    <x v="2"/>
    <x v="2"/>
    <s v="SKU40317"/>
    <x v="3"/>
    <s v="XL"/>
    <n v="5"/>
    <s v="INR"/>
    <n v="4730.3599999999997"/>
    <s v="Bengaluru"/>
    <x v="1"/>
    <n v="560001"/>
    <s v="India"/>
    <s v="No"/>
  </r>
  <r>
    <n v="498"/>
    <s v="ORD202500498"/>
    <s v="CUST6506"/>
    <x v="0"/>
    <n v="19"/>
    <x v="1"/>
    <s v="2025-10-28"/>
    <x v="4"/>
    <x v="0"/>
    <x v="2"/>
    <s v="SKU38991"/>
    <x v="4"/>
    <s v="M"/>
    <n v="4"/>
    <s v="INR"/>
    <n v="2410.7199999999998"/>
    <s v="Lucknow"/>
    <x v="4"/>
    <n v="226001"/>
    <s v="India"/>
    <s v="Yes"/>
  </r>
  <r>
    <n v="499"/>
    <s v="ORD202500499"/>
    <s v="CUST9896"/>
    <x v="0"/>
    <n v="59"/>
    <x v="0"/>
    <s v="2025-06-24"/>
    <x v="3"/>
    <x v="1"/>
    <x v="2"/>
    <s v="SKU48936"/>
    <x v="0"/>
    <s v="M"/>
    <n v="4"/>
    <s v="INR"/>
    <n v="4226.2"/>
    <s v="Lucknow"/>
    <x v="4"/>
    <n v="226001"/>
    <s v="India"/>
    <s v="No"/>
  </r>
  <r>
    <n v="500"/>
    <s v="ORD202500500"/>
    <s v="CUST7967"/>
    <x v="1"/>
    <n v="27"/>
    <x v="1"/>
    <s v="2025-12-17"/>
    <x v="1"/>
    <x v="3"/>
    <x v="2"/>
    <s v="SKU75721"/>
    <x v="5"/>
    <s v="S"/>
    <n v="5"/>
    <s v="INR"/>
    <n v="4070.62"/>
    <s v="Bengaluru"/>
    <x v="1"/>
    <n v="560001"/>
    <s v="India"/>
    <s v="Yes"/>
  </r>
  <r>
    <n v="501"/>
    <s v="ORD202500501"/>
    <s v="CUST2265"/>
    <x v="1"/>
    <n v="44"/>
    <x v="2"/>
    <s v="2025-03-16"/>
    <x v="0"/>
    <x v="2"/>
    <x v="2"/>
    <s v="SKU48186"/>
    <x v="4"/>
    <s v="XL"/>
    <n v="3"/>
    <s v="INR"/>
    <n v="4488.12"/>
    <s v="Lucknow"/>
    <x v="4"/>
    <n v="226001"/>
    <s v="India"/>
    <s v="Yes"/>
  </r>
  <r>
    <n v="502"/>
    <s v="ORD202500502"/>
    <s v="CUST6900"/>
    <x v="0"/>
    <n v="59"/>
    <x v="0"/>
    <s v="2025-12-20"/>
    <x v="1"/>
    <x v="3"/>
    <x v="2"/>
    <s v="SKU56287"/>
    <x v="0"/>
    <s v="XL"/>
    <n v="2"/>
    <s v="INR"/>
    <n v="3348.31"/>
    <s v="Mumbai"/>
    <x v="0"/>
    <n v="400001"/>
    <s v="India"/>
    <s v="Yes"/>
  </r>
  <r>
    <n v="503"/>
    <s v="ORD202500503"/>
    <s v="CUST9584"/>
    <x v="1"/>
    <n v="22"/>
    <x v="1"/>
    <s v="2025-02-21"/>
    <x v="8"/>
    <x v="3"/>
    <x v="2"/>
    <s v="SKU75912"/>
    <x v="0"/>
    <s v="L"/>
    <n v="2"/>
    <s v="INR"/>
    <n v="3475.23"/>
    <s v="Lucknow"/>
    <x v="4"/>
    <n v="226001"/>
    <s v="India"/>
    <s v="No"/>
  </r>
  <r>
    <n v="504"/>
    <s v="ORD202500504"/>
    <s v="CUST6902"/>
    <x v="1"/>
    <n v="44"/>
    <x v="2"/>
    <s v="2025-10-25"/>
    <x v="4"/>
    <x v="2"/>
    <x v="2"/>
    <s v="SKU62693"/>
    <x v="1"/>
    <s v="M"/>
    <n v="2"/>
    <s v="INR"/>
    <n v="4530.33"/>
    <s v="Mumbai"/>
    <x v="0"/>
    <n v="400001"/>
    <s v="India"/>
    <s v="Yes"/>
  </r>
  <r>
    <n v="505"/>
    <s v="ORD202500505"/>
    <s v="CUST3543"/>
    <x v="1"/>
    <n v="59"/>
    <x v="0"/>
    <s v="2025-02-09"/>
    <x v="8"/>
    <x v="3"/>
    <x v="2"/>
    <s v="SKU39313"/>
    <x v="5"/>
    <s v="XL"/>
    <n v="2"/>
    <s v="INR"/>
    <n v="3349.09"/>
    <s v="Jaipur"/>
    <x v="2"/>
    <n v="302001"/>
    <s v="India"/>
    <s v="Yes"/>
  </r>
  <r>
    <n v="506"/>
    <s v="ORD202500506"/>
    <s v="CUST2840"/>
    <x v="0"/>
    <n v="57"/>
    <x v="0"/>
    <s v="2025-08-04"/>
    <x v="5"/>
    <x v="3"/>
    <x v="2"/>
    <s v="SKU55185"/>
    <x v="3"/>
    <s v="L"/>
    <n v="3"/>
    <s v="INR"/>
    <n v="1243.83"/>
    <s v="Delhi"/>
    <x v="3"/>
    <n v="110001"/>
    <s v="India"/>
    <s v="No"/>
  </r>
  <r>
    <n v="507"/>
    <s v="ORD202500507"/>
    <s v="CUST4248"/>
    <x v="0"/>
    <n v="42"/>
    <x v="2"/>
    <s v="2025-11-03"/>
    <x v="6"/>
    <x v="3"/>
    <x v="2"/>
    <s v="SKU34379"/>
    <x v="4"/>
    <s v="M"/>
    <n v="2"/>
    <s v="INR"/>
    <n v="3520.54"/>
    <s v="Bengaluru"/>
    <x v="1"/>
    <n v="560001"/>
    <s v="India"/>
    <s v="Yes"/>
  </r>
  <r>
    <n v="508"/>
    <s v="ORD202500508"/>
    <s v="CUST7005"/>
    <x v="0"/>
    <n v="50"/>
    <x v="0"/>
    <s v="2025-09-04"/>
    <x v="7"/>
    <x v="0"/>
    <x v="2"/>
    <s v="SKU54522"/>
    <x v="4"/>
    <s v="M"/>
    <n v="4"/>
    <s v="INR"/>
    <n v="2112.29"/>
    <s v="Lucknow"/>
    <x v="4"/>
    <n v="226001"/>
    <s v="India"/>
    <s v="Yes"/>
  </r>
  <r>
    <n v="509"/>
    <s v="ORD202500509"/>
    <s v="CUST9474"/>
    <x v="1"/>
    <n v="37"/>
    <x v="2"/>
    <s v="2025-10-03"/>
    <x v="4"/>
    <x v="3"/>
    <x v="2"/>
    <s v="SKU28344"/>
    <x v="2"/>
    <s v="S"/>
    <n v="2"/>
    <s v="INR"/>
    <n v="389.86"/>
    <s v="Bengaluru"/>
    <x v="1"/>
    <n v="560001"/>
    <s v="India"/>
    <s v="Yes"/>
  </r>
  <r>
    <n v="510"/>
    <s v="ORD202500510"/>
    <s v="CUST3824"/>
    <x v="0"/>
    <n v="52"/>
    <x v="0"/>
    <s v="2025-04-10"/>
    <x v="11"/>
    <x v="1"/>
    <x v="2"/>
    <s v="SKU86721"/>
    <x v="2"/>
    <s v="S"/>
    <n v="1"/>
    <s v="INR"/>
    <n v="3647.19"/>
    <s v="Lucknow"/>
    <x v="4"/>
    <n v="226001"/>
    <s v="India"/>
    <s v="No"/>
  </r>
  <r>
    <n v="511"/>
    <s v="ORD202500511"/>
    <s v="CUST2060"/>
    <x v="1"/>
    <n v="19"/>
    <x v="1"/>
    <s v="2025-03-16"/>
    <x v="0"/>
    <x v="0"/>
    <x v="2"/>
    <s v="SKU63369"/>
    <x v="4"/>
    <s v="S"/>
    <n v="2"/>
    <s v="INR"/>
    <n v="890.79"/>
    <s v="Jaipur"/>
    <x v="2"/>
    <n v="302001"/>
    <s v="India"/>
    <s v="No"/>
  </r>
  <r>
    <n v="512"/>
    <s v="ORD202500512"/>
    <s v="CUST8002"/>
    <x v="0"/>
    <n v="27"/>
    <x v="1"/>
    <s v="2025-07-20"/>
    <x v="9"/>
    <x v="3"/>
    <x v="2"/>
    <s v="SKU77735"/>
    <x v="0"/>
    <s v="M"/>
    <n v="3"/>
    <s v="INR"/>
    <n v="2952.98"/>
    <s v="Bengaluru"/>
    <x v="1"/>
    <n v="560001"/>
    <s v="India"/>
    <s v="Yes"/>
  </r>
  <r>
    <n v="513"/>
    <s v="ORD202500513"/>
    <s v="CUST2637"/>
    <x v="0"/>
    <n v="42"/>
    <x v="2"/>
    <s v="2025-07-14"/>
    <x v="9"/>
    <x v="3"/>
    <x v="2"/>
    <s v="SKU11615"/>
    <x v="0"/>
    <s v="XL"/>
    <n v="1"/>
    <s v="INR"/>
    <n v="1407"/>
    <s v="Delhi"/>
    <x v="3"/>
    <n v="110001"/>
    <s v="India"/>
    <s v="No"/>
  </r>
  <r>
    <n v="514"/>
    <s v="ORD202500514"/>
    <s v="CUST4865"/>
    <x v="1"/>
    <n v="42"/>
    <x v="2"/>
    <s v="2025-08-01"/>
    <x v="5"/>
    <x v="3"/>
    <x v="2"/>
    <s v="SKU99200"/>
    <x v="3"/>
    <s v="M"/>
    <n v="3"/>
    <s v="INR"/>
    <n v="3649.79"/>
    <s v="Bengaluru"/>
    <x v="1"/>
    <n v="560001"/>
    <s v="India"/>
    <s v="No"/>
  </r>
  <r>
    <n v="515"/>
    <s v="ORD202500515"/>
    <s v="CUST7158"/>
    <x v="0"/>
    <n v="42"/>
    <x v="2"/>
    <s v="2025-06-11"/>
    <x v="3"/>
    <x v="1"/>
    <x v="1"/>
    <s v="SKU63986"/>
    <x v="5"/>
    <s v="S"/>
    <n v="5"/>
    <s v="INR"/>
    <n v="4841.54"/>
    <s v="Delhi"/>
    <x v="3"/>
    <n v="110001"/>
    <s v="India"/>
    <s v="No"/>
  </r>
  <r>
    <n v="516"/>
    <s v="ORD202500516"/>
    <s v="CUST1475"/>
    <x v="0"/>
    <n v="59"/>
    <x v="0"/>
    <s v="2025-10-11"/>
    <x v="4"/>
    <x v="2"/>
    <x v="0"/>
    <s v="SKU52729"/>
    <x v="2"/>
    <s v="M"/>
    <n v="2"/>
    <s v="INR"/>
    <n v="1613.17"/>
    <s v="Lucknow"/>
    <x v="4"/>
    <n v="226001"/>
    <s v="India"/>
    <s v="Yes"/>
  </r>
  <r>
    <n v="517"/>
    <s v="ORD202500517"/>
    <s v="CUST8317"/>
    <x v="1"/>
    <n v="49"/>
    <x v="2"/>
    <s v="2025-09-14"/>
    <x v="7"/>
    <x v="0"/>
    <x v="3"/>
    <s v="SKU93709"/>
    <x v="0"/>
    <s v="L"/>
    <n v="2"/>
    <s v="INR"/>
    <n v="4372.87"/>
    <s v="Delhi"/>
    <x v="3"/>
    <n v="110001"/>
    <s v="India"/>
    <s v="No"/>
  </r>
  <r>
    <n v="518"/>
    <s v="ORD202500518"/>
    <s v="CUST3705"/>
    <x v="1"/>
    <n v="29"/>
    <x v="1"/>
    <s v="2025-10-31"/>
    <x v="4"/>
    <x v="1"/>
    <x v="2"/>
    <s v="SKU42458"/>
    <x v="1"/>
    <s v="L"/>
    <n v="4"/>
    <s v="INR"/>
    <n v="1722.47"/>
    <s v="Delhi"/>
    <x v="3"/>
    <n v="110001"/>
    <s v="India"/>
    <s v="No"/>
  </r>
  <r>
    <n v="519"/>
    <s v="ORD202500519"/>
    <s v="CUST2227"/>
    <x v="0"/>
    <n v="29"/>
    <x v="1"/>
    <s v="2025-09-21"/>
    <x v="7"/>
    <x v="3"/>
    <x v="2"/>
    <s v="SKU46260"/>
    <x v="2"/>
    <s v="M"/>
    <n v="5"/>
    <s v="INR"/>
    <n v="3958.5"/>
    <s v="Bengaluru"/>
    <x v="1"/>
    <n v="560001"/>
    <s v="India"/>
    <s v="Yes"/>
  </r>
  <r>
    <n v="520"/>
    <s v="ORD202500520"/>
    <s v="CUST8453"/>
    <x v="0"/>
    <n v="26"/>
    <x v="1"/>
    <s v="2025-10-09"/>
    <x v="4"/>
    <x v="1"/>
    <x v="4"/>
    <s v="SKU56978"/>
    <x v="3"/>
    <s v="XL"/>
    <n v="3"/>
    <s v="INR"/>
    <n v="4646.8500000000004"/>
    <s v="Delhi"/>
    <x v="3"/>
    <n v="110001"/>
    <s v="India"/>
    <s v="Yes"/>
  </r>
  <r>
    <n v="521"/>
    <s v="ORD202500521"/>
    <s v="CUST4716"/>
    <x v="0"/>
    <n v="29"/>
    <x v="1"/>
    <s v="2025-07-10"/>
    <x v="9"/>
    <x v="1"/>
    <x v="3"/>
    <s v="SKU18591"/>
    <x v="2"/>
    <s v="M"/>
    <n v="4"/>
    <s v="INR"/>
    <n v="1617.87"/>
    <s v="Jaipur"/>
    <x v="2"/>
    <n v="302001"/>
    <s v="India"/>
    <s v="No"/>
  </r>
  <r>
    <n v="522"/>
    <s v="ORD202500522"/>
    <s v="CUST5601"/>
    <x v="0"/>
    <n v="46"/>
    <x v="2"/>
    <s v="2025-10-31"/>
    <x v="4"/>
    <x v="1"/>
    <x v="3"/>
    <s v="SKU77293"/>
    <x v="0"/>
    <s v="XL"/>
    <n v="1"/>
    <s v="INR"/>
    <n v="1876.25"/>
    <s v="Delhi"/>
    <x v="3"/>
    <n v="110001"/>
    <s v="India"/>
    <s v="No"/>
  </r>
  <r>
    <n v="523"/>
    <s v="ORD202500523"/>
    <s v="CUST3640"/>
    <x v="0"/>
    <n v="29"/>
    <x v="1"/>
    <s v="2025-07-02"/>
    <x v="9"/>
    <x v="2"/>
    <x v="5"/>
    <s v="SKU32235"/>
    <x v="5"/>
    <s v="M"/>
    <n v="1"/>
    <s v="INR"/>
    <n v="768.65"/>
    <s v="Lucknow"/>
    <x v="4"/>
    <n v="226001"/>
    <s v="India"/>
    <s v="No"/>
  </r>
  <r>
    <n v="524"/>
    <s v="ORD202500524"/>
    <s v="CUST6048"/>
    <x v="0"/>
    <n v="58"/>
    <x v="0"/>
    <s v="2025-03-08"/>
    <x v="0"/>
    <x v="1"/>
    <x v="1"/>
    <s v="SKU92518"/>
    <x v="2"/>
    <s v="L"/>
    <n v="1"/>
    <s v="INR"/>
    <n v="1616.87"/>
    <s v="Lucknow"/>
    <x v="4"/>
    <n v="226001"/>
    <s v="India"/>
    <s v="No"/>
  </r>
  <r>
    <n v="525"/>
    <s v="ORD202500525"/>
    <s v="CUST3865"/>
    <x v="0"/>
    <n v="48"/>
    <x v="2"/>
    <s v="2025-06-04"/>
    <x v="3"/>
    <x v="1"/>
    <x v="1"/>
    <s v="SKU17870"/>
    <x v="2"/>
    <s v="XL"/>
    <n v="4"/>
    <s v="INR"/>
    <n v="566.52"/>
    <s v="Mumbai"/>
    <x v="0"/>
    <n v="400001"/>
    <s v="India"/>
    <s v="Yes"/>
  </r>
  <r>
    <n v="526"/>
    <s v="ORD202500526"/>
    <s v="CUST6719"/>
    <x v="1"/>
    <n v="52"/>
    <x v="0"/>
    <s v="2025-04-02"/>
    <x v="11"/>
    <x v="3"/>
    <x v="1"/>
    <s v="SKU47837"/>
    <x v="3"/>
    <s v="XL"/>
    <n v="2"/>
    <s v="INR"/>
    <n v="3599.08"/>
    <s v="Jaipur"/>
    <x v="2"/>
    <n v="302001"/>
    <s v="India"/>
    <s v="Yes"/>
  </r>
  <r>
    <n v="527"/>
    <s v="ORD202500527"/>
    <s v="CUST2635"/>
    <x v="1"/>
    <n v="25"/>
    <x v="1"/>
    <s v="2025-10-18"/>
    <x v="4"/>
    <x v="3"/>
    <x v="1"/>
    <s v="SKU82907"/>
    <x v="2"/>
    <s v="M"/>
    <n v="1"/>
    <s v="INR"/>
    <n v="4752.87"/>
    <s v="Bengaluru"/>
    <x v="1"/>
    <n v="560001"/>
    <s v="India"/>
    <s v="No"/>
  </r>
  <r>
    <n v="528"/>
    <s v="ORD202500528"/>
    <s v="CUST1937"/>
    <x v="1"/>
    <n v="32"/>
    <x v="2"/>
    <s v="2025-01-09"/>
    <x v="10"/>
    <x v="2"/>
    <x v="1"/>
    <s v="SKU64351"/>
    <x v="4"/>
    <s v="XL"/>
    <n v="5"/>
    <s v="INR"/>
    <n v="3242.34"/>
    <s v="Jaipur"/>
    <x v="2"/>
    <n v="302001"/>
    <s v="India"/>
    <s v="No"/>
  </r>
  <r>
    <n v="529"/>
    <s v="ORD202500529"/>
    <s v="CUST8637"/>
    <x v="1"/>
    <n v="29"/>
    <x v="1"/>
    <s v="2025-03-24"/>
    <x v="0"/>
    <x v="2"/>
    <x v="1"/>
    <s v="SKU60245"/>
    <x v="3"/>
    <s v="S"/>
    <n v="1"/>
    <s v="INR"/>
    <n v="455.48"/>
    <s v="Mumbai"/>
    <x v="0"/>
    <n v="400001"/>
    <s v="India"/>
    <s v="Yes"/>
  </r>
  <r>
    <n v="530"/>
    <s v="ORD202500530"/>
    <s v="CUST2204"/>
    <x v="0"/>
    <n v="60"/>
    <x v="0"/>
    <s v="2025-03-06"/>
    <x v="0"/>
    <x v="3"/>
    <x v="1"/>
    <s v="SKU48197"/>
    <x v="5"/>
    <s v="L"/>
    <n v="4"/>
    <s v="INR"/>
    <n v="666.31"/>
    <s v="Lucknow"/>
    <x v="4"/>
    <n v="226001"/>
    <s v="India"/>
    <s v="Yes"/>
  </r>
  <r>
    <n v="531"/>
    <s v="ORD202500531"/>
    <s v="CUST1180"/>
    <x v="0"/>
    <n v="19"/>
    <x v="1"/>
    <s v="2025-04-27"/>
    <x v="11"/>
    <x v="3"/>
    <x v="1"/>
    <s v="SKU66481"/>
    <x v="5"/>
    <s v="L"/>
    <n v="2"/>
    <s v="INR"/>
    <n v="3958.08"/>
    <s v="Bengaluru"/>
    <x v="1"/>
    <n v="560001"/>
    <s v="India"/>
    <s v="Yes"/>
  </r>
  <r>
    <n v="532"/>
    <s v="ORD202500532"/>
    <s v="CUST5426"/>
    <x v="0"/>
    <n v="46"/>
    <x v="2"/>
    <s v="2025-07-21"/>
    <x v="9"/>
    <x v="3"/>
    <x v="1"/>
    <s v="SKU74705"/>
    <x v="5"/>
    <s v="L"/>
    <n v="5"/>
    <s v="INR"/>
    <n v="3279.65"/>
    <s v="Delhi"/>
    <x v="3"/>
    <n v="110001"/>
    <s v="India"/>
    <s v="No"/>
  </r>
  <r>
    <n v="533"/>
    <s v="ORD202500533"/>
    <s v="CUST4112"/>
    <x v="1"/>
    <n v="40"/>
    <x v="2"/>
    <s v="2025-07-11"/>
    <x v="9"/>
    <x v="3"/>
    <x v="1"/>
    <s v="SKU15389"/>
    <x v="2"/>
    <s v="L"/>
    <n v="5"/>
    <s v="INR"/>
    <n v="952.06"/>
    <s v="Delhi"/>
    <x v="3"/>
    <n v="110001"/>
    <s v="India"/>
    <s v="Yes"/>
  </r>
  <r>
    <n v="534"/>
    <s v="ORD202500534"/>
    <s v="CUST2192"/>
    <x v="0"/>
    <n v="47"/>
    <x v="2"/>
    <s v="2025-07-30"/>
    <x v="9"/>
    <x v="3"/>
    <x v="1"/>
    <s v="SKU59535"/>
    <x v="0"/>
    <s v="S"/>
    <n v="1"/>
    <s v="INR"/>
    <n v="3657.97"/>
    <s v="Jaipur"/>
    <x v="2"/>
    <n v="302001"/>
    <s v="India"/>
    <s v="Yes"/>
  </r>
  <r>
    <n v="535"/>
    <s v="ORD202500535"/>
    <s v="CUST1690"/>
    <x v="1"/>
    <n v="50"/>
    <x v="0"/>
    <s v="2025-02-07"/>
    <x v="8"/>
    <x v="1"/>
    <x v="1"/>
    <s v="SKU66194"/>
    <x v="0"/>
    <s v="XL"/>
    <n v="4"/>
    <s v="INR"/>
    <n v="1772.95"/>
    <s v="Delhi"/>
    <x v="3"/>
    <n v="110001"/>
    <s v="India"/>
    <s v="Yes"/>
  </r>
  <r>
    <n v="536"/>
    <s v="ORD202500536"/>
    <s v="CUST9218"/>
    <x v="1"/>
    <n v="32"/>
    <x v="2"/>
    <s v="2025-05-07"/>
    <x v="2"/>
    <x v="0"/>
    <x v="1"/>
    <s v="SKU57173"/>
    <x v="5"/>
    <s v="L"/>
    <n v="3"/>
    <s v="INR"/>
    <n v="2363.9"/>
    <s v="Lucknow"/>
    <x v="4"/>
    <n v="226001"/>
    <s v="India"/>
    <s v="No"/>
  </r>
  <r>
    <n v="537"/>
    <s v="ORD202500537"/>
    <s v="CUST6147"/>
    <x v="1"/>
    <n v="22"/>
    <x v="1"/>
    <s v="2025-12-30"/>
    <x v="1"/>
    <x v="0"/>
    <x v="0"/>
    <s v="SKU73128"/>
    <x v="2"/>
    <s v="S"/>
    <n v="2"/>
    <s v="INR"/>
    <n v="4394.8500000000004"/>
    <s v="Mumbai"/>
    <x v="0"/>
    <n v="400001"/>
    <s v="India"/>
    <s v="Yes"/>
  </r>
  <r>
    <n v="538"/>
    <s v="ORD202500538"/>
    <s v="CUST5956"/>
    <x v="1"/>
    <n v="24"/>
    <x v="1"/>
    <s v="2025-10-24"/>
    <x v="4"/>
    <x v="2"/>
    <x v="1"/>
    <s v="SKU84451"/>
    <x v="2"/>
    <s v="L"/>
    <n v="3"/>
    <s v="INR"/>
    <n v="2680.3"/>
    <s v="Bengaluru"/>
    <x v="1"/>
    <n v="560001"/>
    <s v="India"/>
    <s v="Yes"/>
  </r>
  <r>
    <n v="539"/>
    <s v="ORD202500539"/>
    <s v="CUST9189"/>
    <x v="0"/>
    <n v="25"/>
    <x v="1"/>
    <s v="2025-05-28"/>
    <x v="2"/>
    <x v="3"/>
    <x v="1"/>
    <s v="SKU86931"/>
    <x v="2"/>
    <s v="S"/>
    <n v="5"/>
    <s v="INR"/>
    <n v="376.4"/>
    <s v="Delhi"/>
    <x v="3"/>
    <n v="110001"/>
    <s v="India"/>
    <s v="No"/>
  </r>
  <r>
    <n v="540"/>
    <s v="ORD202500540"/>
    <s v="CUST4651"/>
    <x v="0"/>
    <n v="43"/>
    <x v="2"/>
    <s v="2025-06-15"/>
    <x v="3"/>
    <x v="2"/>
    <x v="3"/>
    <s v="SKU47756"/>
    <x v="0"/>
    <s v="S"/>
    <n v="3"/>
    <s v="INR"/>
    <n v="2740.84"/>
    <s v="Delhi"/>
    <x v="3"/>
    <n v="110001"/>
    <s v="India"/>
    <s v="Yes"/>
  </r>
  <r>
    <n v="541"/>
    <s v="ORD202500541"/>
    <s v="CUST4202"/>
    <x v="0"/>
    <n v="52"/>
    <x v="0"/>
    <s v="2025-07-31"/>
    <x v="9"/>
    <x v="3"/>
    <x v="1"/>
    <s v="SKU38369"/>
    <x v="0"/>
    <s v="S"/>
    <n v="5"/>
    <s v="INR"/>
    <n v="3473.56"/>
    <s v="Bengaluru"/>
    <x v="1"/>
    <n v="560001"/>
    <s v="India"/>
    <s v="Yes"/>
  </r>
  <r>
    <n v="542"/>
    <s v="ORD202500542"/>
    <s v="CUST3639"/>
    <x v="0"/>
    <n v="49"/>
    <x v="2"/>
    <s v="2025-07-20"/>
    <x v="9"/>
    <x v="2"/>
    <x v="2"/>
    <s v="SKU90695"/>
    <x v="5"/>
    <s v="XL"/>
    <n v="5"/>
    <s v="INR"/>
    <n v="4588.7"/>
    <s v="Delhi"/>
    <x v="3"/>
    <n v="110001"/>
    <s v="India"/>
    <s v="Yes"/>
  </r>
  <r>
    <n v="543"/>
    <s v="ORD202500543"/>
    <s v="CUST7173"/>
    <x v="0"/>
    <n v="28"/>
    <x v="1"/>
    <s v="2025-05-22"/>
    <x v="2"/>
    <x v="2"/>
    <x v="2"/>
    <s v="SKU55001"/>
    <x v="2"/>
    <s v="XL"/>
    <n v="3"/>
    <s v="INR"/>
    <n v="1323.49"/>
    <s v="Jaipur"/>
    <x v="2"/>
    <n v="302001"/>
    <s v="India"/>
    <s v="Yes"/>
  </r>
  <r>
    <n v="544"/>
    <s v="ORD202500544"/>
    <s v="CUST1880"/>
    <x v="1"/>
    <n v="54"/>
    <x v="0"/>
    <s v="2025-12-18"/>
    <x v="1"/>
    <x v="0"/>
    <x v="2"/>
    <s v="SKU46553"/>
    <x v="0"/>
    <s v="L"/>
    <n v="1"/>
    <s v="INR"/>
    <n v="1044.45"/>
    <s v="Bengaluru"/>
    <x v="1"/>
    <n v="560001"/>
    <s v="India"/>
    <s v="Yes"/>
  </r>
  <r>
    <n v="545"/>
    <s v="ORD202500545"/>
    <s v="CUST4628"/>
    <x v="0"/>
    <n v="57"/>
    <x v="0"/>
    <s v="2025-02-07"/>
    <x v="8"/>
    <x v="0"/>
    <x v="2"/>
    <s v="SKU92078"/>
    <x v="0"/>
    <s v="S"/>
    <n v="3"/>
    <s v="INR"/>
    <n v="3570.91"/>
    <s v="Jaipur"/>
    <x v="2"/>
    <n v="302001"/>
    <s v="India"/>
    <s v="Yes"/>
  </r>
  <r>
    <n v="546"/>
    <s v="ORD202500546"/>
    <s v="CUST1131"/>
    <x v="0"/>
    <n v="50"/>
    <x v="0"/>
    <s v="2025-11-10"/>
    <x v="6"/>
    <x v="2"/>
    <x v="2"/>
    <s v="SKU34421"/>
    <x v="5"/>
    <s v="L"/>
    <n v="2"/>
    <s v="INR"/>
    <n v="3048.57"/>
    <s v="Mumbai"/>
    <x v="0"/>
    <n v="400001"/>
    <s v="India"/>
    <s v="No"/>
  </r>
  <r>
    <n v="547"/>
    <s v="ORD202500547"/>
    <s v="CUST7223"/>
    <x v="0"/>
    <n v="32"/>
    <x v="2"/>
    <s v="2025-11-05"/>
    <x v="6"/>
    <x v="1"/>
    <x v="2"/>
    <s v="SKU82756"/>
    <x v="0"/>
    <s v="S"/>
    <n v="5"/>
    <s v="INR"/>
    <n v="1698.75"/>
    <s v="Jaipur"/>
    <x v="2"/>
    <n v="302001"/>
    <s v="India"/>
    <s v="No"/>
  </r>
  <r>
    <n v="548"/>
    <s v="ORD202500548"/>
    <s v="CUST3270"/>
    <x v="0"/>
    <n v="45"/>
    <x v="2"/>
    <s v="2025-12-13"/>
    <x v="1"/>
    <x v="0"/>
    <x v="2"/>
    <s v="SKU42038"/>
    <x v="5"/>
    <s v="S"/>
    <n v="3"/>
    <s v="INR"/>
    <n v="1099.03"/>
    <s v="Delhi"/>
    <x v="3"/>
    <n v="110001"/>
    <s v="India"/>
    <s v="Yes"/>
  </r>
  <r>
    <n v="549"/>
    <s v="ORD202500549"/>
    <s v="CUST2945"/>
    <x v="1"/>
    <n v="30"/>
    <x v="2"/>
    <s v="2025-12-05"/>
    <x v="1"/>
    <x v="1"/>
    <x v="2"/>
    <s v="SKU50381"/>
    <x v="4"/>
    <s v="M"/>
    <n v="5"/>
    <s v="INR"/>
    <n v="1467.04"/>
    <s v="Delhi"/>
    <x v="3"/>
    <n v="110001"/>
    <s v="India"/>
    <s v="Yes"/>
  </r>
  <r>
    <n v="550"/>
    <s v="ORD202500550"/>
    <s v="CUST2126"/>
    <x v="0"/>
    <n v="25"/>
    <x v="1"/>
    <s v="2025-03-01"/>
    <x v="0"/>
    <x v="3"/>
    <x v="2"/>
    <s v="SKU24699"/>
    <x v="5"/>
    <s v="S"/>
    <n v="4"/>
    <s v="INR"/>
    <n v="2338.58"/>
    <s v="Bengaluru"/>
    <x v="1"/>
    <n v="560001"/>
    <s v="India"/>
    <s v="Yes"/>
  </r>
  <r>
    <n v="551"/>
    <s v="ORD202500551"/>
    <s v="CUST4277"/>
    <x v="1"/>
    <n v="30"/>
    <x v="2"/>
    <s v="2025-10-04"/>
    <x v="4"/>
    <x v="1"/>
    <x v="2"/>
    <s v="SKU40113"/>
    <x v="0"/>
    <s v="L"/>
    <n v="4"/>
    <s v="INR"/>
    <n v="4582.3"/>
    <s v="Delhi"/>
    <x v="3"/>
    <n v="110001"/>
    <s v="India"/>
    <s v="Yes"/>
  </r>
  <r>
    <n v="552"/>
    <s v="ORD202500552"/>
    <s v="CUST5481"/>
    <x v="1"/>
    <n v="40"/>
    <x v="2"/>
    <s v="2025-05-19"/>
    <x v="2"/>
    <x v="1"/>
    <x v="2"/>
    <s v="SKU19471"/>
    <x v="1"/>
    <s v="M"/>
    <n v="5"/>
    <s v="INR"/>
    <n v="4360.79"/>
    <s v="Delhi"/>
    <x v="3"/>
    <n v="110001"/>
    <s v="India"/>
    <s v="No"/>
  </r>
  <r>
    <n v="553"/>
    <s v="ORD202500553"/>
    <s v="CUST1199"/>
    <x v="0"/>
    <n v="37"/>
    <x v="2"/>
    <s v="2025-05-20"/>
    <x v="2"/>
    <x v="1"/>
    <x v="2"/>
    <s v="SKU51357"/>
    <x v="1"/>
    <s v="XL"/>
    <n v="1"/>
    <s v="INR"/>
    <n v="4389.0600000000004"/>
    <s v="Bengaluru"/>
    <x v="1"/>
    <n v="560001"/>
    <s v="India"/>
    <s v="Yes"/>
  </r>
  <r>
    <n v="554"/>
    <s v="ORD202500554"/>
    <s v="CUST4671"/>
    <x v="1"/>
    <n v="29"/>
    <x v="1"/>
    <s v="2025-12-06"/>
    <x v="1"/>
    <x v="1"/>
    <x v="2"/>
    <s v="SKU73319"/>
    <x v="1"/>
    <s v="M"/>
    <n v="5"/>
    <s v="INR"/>
    <n v="3827.02"/>
    <s v="Lucknow"/>
    <x v="4"/>
    <n v="226001"/>
    <s v="India"/>
    <s v="Yes"/>
  </r>
  <r>
    <n v="555"/>
    <s v="ORD202500555"/>
    <s v="CUST5652"/>
    <x v="0"/>
    <n v="23"/>
    <x v="1"/>
    <s v="2025-10-13"/>
    <x v="4"/>
    <x v="1"/>
    <x v="2"/>
    <s v="SKU19343"/>
    <x v="0"/>
    <s v="S"/>
    <n v="1"/>
    <s v="INR"/>
    <n v="3256.62"/>
    <s v="Lucknow"/>
    <x v="4"/>
    <n v="226001"/>
    <s v="India"/>
    <s v="Yes"/>
  </r>
  <r>
    <n v="556"/>
    <s v="ORD202500556"/>
    <s v="CUST9218"/>
    <x v="0"/>
    <n v="45"/>
    <x v="2"/>
    <s v="2025-09-11"/>
    <x v="7"/>
    <x v="0"/>
    <x v="2"/>
    <s v="SKU10884"/>
    <x v="5"/>
    <s v="XL"/>
    <n v="3"/>
    <s v="INR"/>
    <n v="4084.45"/>
    <s v="Lucknow"/>
    <x v="4"/>
    <n v="226001"/>
    <s v="India"/>
    <s v="Yes"/>
  </r>
  <r>
    <n v="557"/>
    <s v="ORD202500557"/>
    <s v="CUST2201"/>
    <x v="1"/>
    <n v="21"/>
    <x v="1"/>
    <s v="2025-03-05"/>
    <x v="0"/>
    <x v="0"/>
    <x v="2"/>
    <s v="SKU43481"/>
    <x v="4"/>
    <s v="XL"/>
    <n v="3"/>
    <s v="INR"/>
    <n v="641.82000000000005"/>
    <s v="Bengaluru"/>
    <x v="1"/>
    <n v="560001"/>
    <s v="India"/>
    <s v="Yes"/>
  </r>
  <r>
    <n v="558"/>
    <s v="ORD202500558"/>
    <s v="CUST5770"/>
    <x v="1"/>
    <n v="41"/>
    <x v="2"/>
    <s v="2025-07-25"/>
    <x v="9"/>
    <x v="0"/>
    <x v="2"/>
    <s v="SKU70585"/>
    <x v="3"/>
    <s v="S"/>
    <n v="3"/>
    <s v="INR"/>
    <n v="3364.47"/>
    <s v="Delhi"/>
    <x v="3"/>
    <n v="110001"/>
    <s v="India"/>
    <s v="Yes"/>
  </r>
  <r>
    <n v="559"/>
    <s v="ORD202500559"/>
    <s v="CUST4051"/>
    <x v="0"/>
    <n v="54"/>
    <x v="0"/>
    <s v="2025-01-17"/>
    <x v="10"/>
    <x v="3"/>
    <x v="2"/>
    <s v="SKU26647"/>
    <x v="5"/>
    <s v="XL"/>
    <n v="1"/>
    <s v="INR"/>
    <n v="3194.28"/>
    <s v="Lucknow"/>
    <x v="3"/>
    <n v="226001"/>
    <s v="India"/>
    <s v="No"/>
  </r>
  <r>
    <n v="560"/>
    <s v="ORD202500560"/>
    <s v="CUST7171"/>
    <x v="0"/>
    <n v="26"/>
    <x v="1"/>
    <s v="2025-07-27"/>
    <x v="9"/>
    <x v="2"/>
    <x v="2"/>
    <s v="SKU89547"/>
    <x v="0"/>
    <s v="S"/>
    <n v="3"/>
    <s v="INR"/>
    <n v="1517.58"/>
    <s v="Mumbai"/>
    <x v="3"/>
    <n v="400001"/>
    <s v="India"/>
    <s v="No"/>
  </r>
  <r>
    <n v="561"/>
    <s v="ORD202500561"/>
    <s v="CUST8452"/>
    <x v="1"/>
    <n v="18"/>
    <x v="1"/>
    <s v="2025-06-15"/>
    <x v="3"/>
    <x v="2"/>
    <x v="2"/>
    <s v="SKU35696"/>
    <x v="2"/>
    <s v="L"/>
    <n v="4"/>
    <s v="INR"/>
    <n v="4251.88"/>
    <s v="Jaipur"/>
    <x v="3"/>
    <n v="302001"/>
    <s v="India"/>
    <s v="Yes"/>
  </r>
  <r>
    <n v="562"/>
    <s v="ORD202500562"/>
    <s v="CUST6606"/>
    <x v="0"/>
    <n v="19"/>
    <x v="1"/>
    <s v="2025-06-02"/>
    <x v="3"/>
    <x v="0"/>
    <x v="2"/>
    <s v="SKU41404"/>
    <x v="4"/>
    <s v="S"/>
    <n v="3"/>
    <s v="INR"/>
    <n v="1098.8699999999999"/>
    <s v="Mumbai"/>
    <x v="3"/>
    <n v="400001"/>
    <s v="India"/>
    <s v="Yes"/>
  </r>
  <r>
    <n v="563"/>
    <s v="ORD202500563"/>
    <s v="CUST4019"/>
    <x v="0"/>
    <n v="44"/>
    <x v="2"/>
    <s v="2025-03-17"/>
    <x v="0"/>
    <x v="1"/>
    <x v="4"/>
    <s v="SKU77918"/>
    <x v="1"/>
    <s v="S"/>
    <n v="3"/>
    <s v="INR"/>
    <n v="1002.42"/>
    <s v="Lucknow"/>
    <x v="3"/>
    <n v="226001"/>
    <s v="India"/>
    <s v="Yes"/>
  </r>
  <r>
    <n v="564"/>
    <s v="ORD202500564"/>
    <s v="CUST9543"/>
    <x v="0"/>
    <n v="50"/>
    <x v="0"/>
    <s v="2025-07-09"/>
    <x v="9"/>
    <x v="0"/>
    <x v="4"/>
    <s v="SKU65798"/>
    <x v="5"/>
    <s v="M"/>
    <n v="5"/>
    <s v="INR"/>
    <n v="1934.66"/>
    <s v="Bengaluru"/>
    <x v="3"/>
    <n v="560001"/>
    <s v="India"/>
    <s v="No"/>
  </r>
  <r>
    <n v="565"/>
    <s v="ORD202500565"/>
    <s v="CUST2747"/>
    <x v="0"/>
    <n v="35"/>
    <x v="2"/>
    <s v="2025-12-30"/>
    <x v="1"/>
    <x v="0"/>
    <x v="1"/>
    <s v="SKU39408"/>
    <x v="1"/>
    <s v="XL"/>
    <n v="5"/>
    <s v="INR"/>
    <n v="2054.2800000000002"/>
    <s v="Mumbai"/>
    <x v="3"/>
    <n v="400001"/>
    <s v="India"/>
    <s v="Yes"/>
  </r>
  <r>
    <n v="566"/>
    <s v="ORD202500566"/>
    <s v="CUST1970"/>
    <x v="0"/>
    <n v="60"/>
    <x v="0"/>
    <s v="2025-10-01"/>
    <x v="4"/>
    <x v="0"/>
    <x v="0"/>
    <s v="SKU94765"/>
    <x v="5"/>
    <s v="M"/>
    <n v="2"/>
    <s v="INR"/>
    <n v="1354.45"/>
    <s v="Delhi"/>
    <x v="3"/>
    <n v="110001"/>
    <s v="India"/>
    <s v="Yes"/>
  </r>
  <r>
    <n v="567"/>
    <s v="ORD202500567"/>
    <s v="CUST2986"/>
    <x v="1"/>
    <n v="27"/>
    <x v="1"/>
    <s v="2025-09-27"/>
    <x v="7"/>
    <x v="3"/>
    <x v="5"/>
    <s v="SKU36012"/>
    <x v="2"/>
    <s v="S"/>
    <n v="3"/>
    <s v="INR"/>
    <n v="4039.98"/>
    <s v="Lucknow"/>
    <x v="3"/>
    <n v="226001"/>
    <s v="India"/>
    <s v="No"/>
  </r>
  <r>
    <n v="568"/>
    <s v="ORD202500568"/>
    <s v="CUST7006"/>
    <x v="1"/>
    <n v="37"/>
    <x v="2"/>
    <s v="2025-10-24"/>
    <x v="4"/>
    <x v="3"/>
    <x v="1"/>
    <s v="SKU60842"/>
    <x v="3"/>
    <s v="XL"/>
    <n v="5"/>
    <s v="INR"/>
    <n v="1774.51"/>
    <s v="Mumbai"/>
    <x v="3"/>
    <n v="400001"/>
    <s v="India"/>
    <s v="Yes"/>
  </r>
  <r>
    <n v="569"/>
    <s v="ORD202500569"/>
    <s v="CUST2756"/>
    <x v="0"/>
    <n v="42"/>
    <x v="2"/>
    <s v="2025-12-05"/>
    <x v="1"/>
    <x v="2"/>
    <x v="4"/>
    <s v="SKU81703"/>
    <x v="1"/>
    <s v="M"/>
    <n v="3"/>
    <s v="INR"/>
    <n v="4097.78"/>
    <s v="Bengaluru"/>
    <x v="3"/>
    <n v="560001"/>
    <s v="India"/>
    <s v="Yes"/>
  </r>
  <r>
    <n v="570"/>
    <s v="ORD202500570"/>
    <s v="CUST9256"/>
    <x v="1"/>
    <n v="58"/>
    <x v="0"/>
    <s v="2025-11-17"/>
    <x v="6"/>
    <x v="2"/>
    <x v="5"/>
    <s v="SKU63864"/>
    <x v="1"/>
    <s v="L"/>
    <n v="3"/>
    <s v="INR"/>
    <n v="362.87"/>
    <s v="Lucknow"/>
    <x v="3"/>
    <n v="226001"/>
    <s v="India"/>
    <s v="No"/>
  </r>
  <r>
    <n v="571"/>
    <s v="ORD202500571"/>
    <s v="CUST3452"/>
    <x v="1"/>
    <n v="27"/>
    <x v="1"/>
    <s v="2025-03-03"/>
    <x v="0"/>
    <x v="2"/>
    <x v="0"/>
    <s v="SKU66353"/>
    <x v="3"/>
    <s v="M"/>
    <n v="2"/>
    <s v="INR"/>
    <n v="2513.5100000000002"/>
    <s v="Lucknow"/>
    <x v="3"/>
    <n v="226001"/>
    <s v="India"/>
    <s v="No"/>
  </r>
  <r>
    <n v="572"/>
    <s v="ORD202500572"/>
    <s v="CUST7405"/>
    <x v="0"/>
    <n v="20"/>
    <x v="1"/>
    <s v="2025-07-30"/>
    <x v="9"/>
    <x v="2"/>
    <x v="1"/>
    <s v="SKU85102"/>
    <x v="4"/>
    <s v="L"/>
    <n v="1"/>
    <s v="INR"/>
    <n v="4079.68"/>
    <s v="Delhi"/>
    <x v="3"/>
    <n v="110001"/>
    <s v="India"/>
    <s v="No"/>
  </r>
  <r>
    <n v="573"/>
    <s v="ORD202500573"/>
    <s v="CUST3404"/>
    <x v="1"/>
    <n v="40"/>
    <x v="2"/>
    <s v="2025-10-04"/>
    <x v="4"/>
    <x v="2"/>
    <x v="0"/>
    <s v="SKU22808"/>
    <x v="4"/>
    <s v="S"/>
    <n v="1"/>
    <s v="INR"/>
    <n v="3290.24"/>
    <s v="Jaipur"/>
    <x v="2"/>
    <n v="302001"/>
    <s v="India"/>
    <s v="Yes"/>
  </r>
  <r>
    <n v="574"/>
    <s v="ORD202500574"/>
    <s v="CUST8305"/>
    <x v="1"/>
    <n v="43"/>
    <x v="2"/>
    <s v="2025-01-21"/>
    <x v="10"/>
    <x v="2"/>
    <x v="3"/>
    <s v="SKU24120"/>
    <x v="3"/>
    <s v="S"/>
    <n v="3"/>
    <s v="INR"/>
    <n v="573.91999999999996"/>
    <s v="Lucknow"/>
    <x v="2"/>
    <n v="226001"/>
    <s v="India"/>
    <s v="No"/>
  </r>
  <r>
    <n v="575"/>
    <s v="ORD202500575"/>
    <s v="CUST9742"/>
    <x v="1"/>
    <n v="50"/>
    <x v="0"/>
    <s v="2025-06-06"/>
    <x v="3"/>
    <x v="2"/>
    <x v="5"/>
    <s v="SKU70545"/>
    <x v="0"/>
    <s v="L"/>
    <n v="4"/>
    <s v="INR"/>
    <n v="4291.7299999999996"/>
    <s v="Lucknow"/>
    <x v="2"/>
    <n v="226001"/>
    <s v="India"/>
    <s v="No"/>
  </r>
  <r>
    <n v="576"/>
    <s v="ORD202500576"/>
    <s v="CUST4372"/>
    <x v="1"/>
    <n v="56"/>
    <x v="0"/>
    <s v="2025-02-23"/>
    <x v="8"/>
    <x v="2"/>
    <x v="3"/>
    <s v="SKU15934"/>
    <x v="4"/>
    <s v="L"/>
    <n v="3"/>
    <s v="INR"/>
    <n v="4386.63"/>
    <s v="Delhi"/>
    <x v="2"/>
    <n v="110001"/>
    <s v="India"/>
    <s v="No"/>
  </r>
  <r>
    <n v="577"/>
    <s v="ORD202500577"/>
    <s v="CUST3226"/>
    <x v="0"/>
    <n v="53"/>
    <x v="0"/>
    <s v="2025-08-19"/>
    <x v="5"/>
    <x v="2"/>
    <x v="2"/>
    <s v="SKU60167"/>
    <x v="4"/>
    <s v="M"/>
    <n v="1"/>
    <s v="INR"/>
    <n v="1291.6300000000001"/>
    <s v="Mumbai"/>
    <x v="2"/>
    <n v="400001"/>
    <s v="India"/>
    <s v="Yes"/>
  </r>
  <r>
    <n v="578"/>
    <s v="ORD202500578"/>
    <s v="CUST2863"/>
    <x v="0"/>
    <n v="44"/>
    <x v="2"/>
    <s v="2025-04-21"/>
    <x v="11"/>
    <x v="2"/>
    <x v="2"/>
    <s v="SKU54071"/>
    <x v="4"/>
    <s v="XL"/>
    <n v="2"/>
    <s v="INR"/>
    <n v="4813.99"/>
    <s v="Delhi"/>
    <x v="2"/>
    <n v="110001"/>
    <s v="India"/>
    <s v="No"/>
  </r>
  <r>
    <n v="579"/>
    <s v="ORD202500579"/>
    <s v="CUST6172"/>
    <x v="1"/>
    <n v="53"/>
    <x v="0"/>
    <s v="2025-02-25"/>
    <x v="8"/>
    <x v="2"/>
    <x v="4"/>
    <s v="SKU89868"/>
    <x v="5"/>
    <s v="M"/>
    <n v="5"/>
    <s v="INR"/>
    <n v="4878.34"/>
    <s v="Bengaluru"/>
    <x v="2"/>
    <n v="560001"/>
    <s v="India"/>
    <s v="No"/>
  </r>
  <r>
    <n v="580"/>
    <s v="ORD202500580"/>
    <s v="CUST2782"/>
    <x v="1"/>
    <n v="34"/>
    <x v="2"/>
    <s v="2025-07-07"/>
    <x v="9"/>
    <x v="2"/>
    <x v="3"/>
    <s v="SKU16822"/>
    <x v="0"/>
    <s v="XL"/>
    <n v="1"/>
    <s v="INR"/>
    <n v="1486.05"/>
    <s v="Delhi"/>
    <x v="2"/>
    <n v="110001"/>
    <s v="India"/>
    <s v="Yes"/>
  </r>
  <r>
    <n v="581"/>
    <s v="ORD202500581"/>
    <s v="CUST2842"/>
    <x v="0"/>
    <n v="24"/>
    <x v="1"/>
    <s v="2025-03-20"/>
    <x v="0"/>
    <x v="2"/>
    <x v="1"/>
    <s v="SKU67428"/>
    <x v="4"/>
    <s v="S"/>
    <n v="3"/>
    <s v="INR"/>
    <n v="1031.6099999999999"/>
    <s v="Lucknow"/>
    <x v="2"/>
    <n v="226001"/>
    <s v="India"/>
    <s v="No"/>
  </r>
  <r>
    <n v="582"/>
    <s v="ORD202500582"/>
    <s v="CUST4205"/>
    <x v="1"/>
    <n v="58"/>
    <x v="0"/>
    <s v="2025-01-21"/>
    <x v="10"/>
    <x v="2"/>
    <x v="4"/>
    <s v="SKU22575"/>
    <x v="0"/>
    <s v="XL"/>
    <n v="3"/>
    <s v="INR"/>
    <n v="4336.97"/>
    <s v="Lucknow"/>
    <x v="2"/>
    <n v="226001"/>
    <s v="India"/>
    <s v="No"/>
  </r>
  <r>
    <n v="583"/>
    <s v="ORD202500583"/>
    <s v="CUST9504"/>
    <x v="0"/>
    <n v="42"/>
    <x v="2"/>
    <s v="2025-11-07"/>
    <x v="6"/>
    <x v="2"/>
    <x v="3"/>
    <s v="SKU63475"/>
    <x v="5"/>
    <s v="S"/>
    <n v="3"/>
    <s v="INR"/>
    <n v="2207.7399999999998"/>
    <s v="Delhi"/>
    <x v="2"/>
    <n v="110001"/>
    <s v="India"/>
    <s v="Yes"/>
  </r>
  <r>
    <n v="584"/>
    <s v="ORD202500584"/>
    <s v="CUST4363"/>
    <x v="1"/>
    <n v="43"/>
    <x v="2"/>
    <s v="2025-10-16"/>
    <x v="4"/>
    <x v="2"/>
    <x v="1"/>
    <s v="SKU85184"/>
    <x v="3"/>
    <s v="XL"/>
    <n v="1"/>
    <s v="INR"/>
    <n v="3765.59"/>
    <s v="Mumbai"/>
    <x v="2"/>
    <n v="400001"/>
    <s v="India"/>
    <s v="No"/>
  </r>
  <r>
    <n v="585"/>
    <s v="ORD202500585"/>
    <s v="CUST1544"/>
    <x v="0"/>
    <n v="52"/>
    <x v="0"/>
    <s v="2025-12-04"/>
    <x v="1"/>
    <x v="2"/>
    <x v="1"/>
    <s v="SKU60281"/>
    <x v="0"/>
    <s v="L"/>
    <n v="1"/>
    <s v="INR"/>
    <n v="4479.2299999999996"/>
    <s v="Lucknow"/>
    <x v="2"/>
    <n v="226001"/>
    <s v="India"/>
    <s v="No"/>
  </r>
  <r>
    <n v="586"/>
    <s v="ORD202500586"/>
    <s v="CUST8101"/>
    <x v="1"/>
    <n v="22"/>
    <x v="1"/>
    <s v="2025-08-15"/>
    <x v="5"/>
    <x v="2"/>
    <x v="1"/>
    <s v="SKU66482"/>
    <x v="5"/>
    <s v="M"/>
    <n v="5"/>
    <s v="INR"/>
    <n v="3128.45"/>
    <s v="Delhi"/>
    <x v="2"/>
    <n v="110001"/>
    <s v="India"/>
    <s v="Yes"/>
  </r>
  <r>
    <n v="587"/>
    <s v="ORD202500587"/>
    <s v="CUST9525"/>
    <x v="1"/>
    <n v="18"/>
    <x v="1"/>
    <s v="2025-06-19"/>
    <x v="3"/>
    <x v="2"/>
    <x v="1"/>
    <s v="SKU29481"/>
    <x v="0"/>
    <s v="XL"/>
    <n v="1"/>
    <s v="INR"/>
    <n v="2041"/>
    <s v="Lucknow"/>
    <x v="2"/>
    <n v="226001"/>
    <s v="India"/>
    <s v="No"/>
  </r>
  <r>
    <n v="588"/>
    <s v="ORD202500588"/>
    <s v="CUST2824"/>
    <x v="0"/>
    <n v="18"/>
    <x v="1"/>
    <s v="2025-10-30"/>
    <x v="4"/>
    <x v="2"/>
    <x v="1"/>
    <s v="SKU44263"/>
    <x v="2"/>
    <s v="M"/>
    <n v="2"/>
    <s v="INR"/>
    <n v="632.05999999999995"/>
    <s v="Bengaluru"/>
    <x v="2"/>
    <n v="560001"/>
    <s v="India"/>
    <s v="Yes"/>
  </r>
  <r>
    <n v="589"/>
    <s v="ORD202500589"/>
    <s v="CUST2545"/>
    <x v="1"/>
    <n v="27"/>
    <x v="1"/>
    <s v="2025-09-21"/>
    <x v="7"/>
    <x v="2"/>
    <x v="1"/>
    <s v="SKU47717"/>
    <x v="3"/>
    <s v="M"/>
    <n v="4"/>
    <s v="INR"/>
    <n v="3494.68"/>
    <s v="Lucknow"/>
    <x v="2"/>
    <n v="226001"/>
    <s v="India"/>
    <s v="No"/>
  </r>
  <r>
    <n v="590"/>
    <s v="ORD202500590"/>
    <s v="CUST5188"/>
    <x v="1"/>
    <n v="54"/>
    <x v="0"/>
    <s v="2025-06-29"/>
    <x v="3"/>
    <x v="2"/>
    <x v="1"/>
    <s v="SKU67088"/>
    <x v="2"/>
    <s v="M"/>
    <n v="1"/>
    <s v="INR"/>
    <n v="836.48"/>
    <s v="Delhi"/>
    <x v="2"/>
    <n v="110001"/>
    <s v="India"/>
    <s v="Yes"/>
  </r>
  <r>
    <n v="591"/>
    <s v="ORD202500591"/>
    <s v="CUST6860"/>
    <x v="0"/>
    <n v="57"/>
    <x v="0"/>
    <s v="2025-03-14"/>
    <x v="0"/>
    <x v="2"/>
    <x v="1"/>
    <s v="SKU41707"/>
    <x v="1"/>
    <s v="L"/>
    <n v="4"/>
    <s v="INR"/>
    <n v="4983.26"/>
    <s v="Lucknow"/>
    <x v="2"/>
    <n v="226001"/>
    <s v="India"/>
    <s v="Yes"/>
  </r>
  <r>
    <n v="592"/>
    <s v="ORD202500592"/>
    <s v="CUST5497"/>
    <x v="1"/>
    <n v="28"/>
    <x v="1"/>
    <s v="2025-11-05"/>
    <x v="6"/>
    <x v="2"/>
    <x v="1"/>
    <s v="SKU38507"/>
    <x v="4"/>
    <s v="L"/>
    <n v="4"/>
    <s v="INR"/>
    <n v="2802.65"/>
    <s v="Jaipur"/>
    <x v="2"/>
    <n v="302001"/>
    <s v="India"/>
    <s v="No"/>
  </r>
  <r>
    <n v="593"/>
    <s v="ORD202500593"/>
    <s v="CUST9550"/>
    <x v="1"/>
    <n v="46"/>
    <x v="2"/>
    <s v="2025-08-22"/>
    <x v="5"/>
    <x v="2"/>
    <x v="1"/>
    <s v="SKU30628"/>
    <x v="5"/>
    <s v="S"/>
    <n v="2"/>
    <s v="INR"/>
    <n v="4265.03"/>
    <s v="Lucknow"/>
    <x v="2"/>
    <n v="226001"/>
    <s v="India"/>
    <s v="Yes"/>
  </r>
  <r>
    <n v="594"/>
    <s v="ORD202500594"/>
    <s v="CUST2046"/>
    <x v="1"/>
    <n v="29"/>
    <x v="1"/>
    <s v="2025-08-22"/>
    <x v="5"/>
    <x v="2"/>
    <x v="1"/>
    <s v="SKU74575"/>
    <x v="1"/>
    <s v="L"/>
    <n v="3"/>
    <s v="INR"/>
    <n v="4889.68"/>
    <s v="Jaipur"/>
    <x v="2"/>
    <n v="302001"/>
    <s v="India"/>
    <s v="Yes"/>
  </r>
  <r>
    <n v="595"/>
    <s v="ORD202500595"/>
    <s v="CUST2461"/>
    <x v="0"/>
    <n v="42"/>
    <x v="2"/>
    <s v="2025-09-02"/>
    <x v="7"/>
    <x v="2"/>
    <x v="1"/>
    <s v="SKU91946"/>
    <x v="2"/>
    <s v="M"/>
    <n v="2"/>
    <s v="INR"/>
    <n v="3613.34"/>
    <s v="Jaipur"/>
    <x v="2"/>
    <n v="302001"/>
    <s v="India"/>
    <s v="No"/>
  </r>
  <r>
    <n v="596"/>
    <s v="ORD202500596"/>
    <s v="CUST8239"/>
    <x v="1"/>
    <n v="53"/>
    <x v="0"/>
    <s v="2025-01-01"/>
    <x v="10"/>
    <x v="2"/>
    <x v="1"/>
    <s v="SKU87883"/>
    <x v="5"/>
    <s v="M"/>
    <n v="1"/>
    <s v="INR"/>
    <n v="2473.36"/>
    <s v="Delhi"/>
    <x v="3"/>
    <n v="110001"/>
    <s v="India"/>
    <s v="No"/>
  </r>
  <r>
    <n v="597"/>
    <s v="ORD202500597"/>
    <s v="CUST8871"/>
    <x v="1"/>
    <n v="56"/>
    <x v="0"/>
    <s v="2025-08-19"/>
    <x v="5"/>
    <x v="2"/>
    <x v="1"/>
    <s v="SKU98965"/>
    <x v="5"/>
    <s v="S"/>
    <n v="4"/>
    <s v="INR"/>
    <n v="999.59"/>
    <s v="Bengaluru"/>
    <x v="1"/>
    <n v="560001"/>
    <s v="India"/>
    <s v="No"/>
  </r>
  <r>
    <n v="598"/>
    <s v="ORD202500598"/>
    <s v="CUST8566"/>
    <x v="1"/>
    <n v="19"/>
    <x v="1"/>
    <s v="2025-03-23"/>
    <x v="0"/>
    <x v="2"/>
    <x v="1"/>
    <s v="SKU68178"/>
    <x v="2"/>
    <s v="S"/>
    <n v="3"/>
    <s v="INR"/>
    <n v="3451.79"/>
    <s v="Bengaluru"/>
    <x v="1"/>
    <n v="560001"/>
    <s v="India"/>
    <s v="Yes"/>
  </r>
  <r>
    <n v="599"/>
    <s v="ORD202500599"/>
    <s v="CUST1038"/>
    <x v="1"/>
    <n v="43"/>
    <x v="2"/>
    <s v="2025-08-28"/>
    <x v="5"/>
    <x v="2"/>
    <x v="1"/>
    <s v="SKU84708"/>
    <x v="4"/>
    <s v="L"/>
    <n v="1"/>
    <s v="INR"/>
    <n v="2552.4"/>
    <s v="Jaipur"/>
    <x v="2"/>
    <n v="302001"/>
    <s v="India"/>
    <s v="Yes"/>
  </r>
  <r>
    <n v="600"/>
    <s v="ORD202500600"/>
    <s v="CUST6814"/>
    <x v="1"/>
    <n v="24"/>
    <x v="1"/>
    <s v="2025-04-13"/>
    <x v="11"/>
    <x v="2"/>
    <x v="1"/>
    <s v="SKU90700"/>
    <x v="3"/>
    <s v="S"/>
    <n v="2"/>
    <s v="INR"/>
    <n v="894.87"/>
    <s v="Lucknow"/>
    <x v="4"/>
    <n v="226001"/>
    <s v="India"/>
    <s v="No"/>
  </r>
  <r>
    <n v="601"/>
    <s v="ORD202500601"/>
    <s v="CUST4064"/>
    <x v="0"/>
    <n v="22"/>
    <x v="1"/>
    <s v="2025-02-20"/>
    <x v="8"/>
    <x v="2"/>
    <x v="1"/>
    <s v="SKU79644"/>
    <x v="3"/>
    <s v="L"/>
    <n v="3"/>
    <s v="INR"/>
    <n v="4309.37"/>
    <s v="Bengaluru"/>
    <x v="1"/>
    <n v="560001"/>
    <s v="India"/>
    <s v="Yes"/>
  </r>
  <r>
    <n v="602"/>
    <s v="ORD202500602"/>
    <s v="CUST5513"/>
    <x v="0"/>
    <n v="22"/>
    <x v="1"/>
    <s v="2025-07-11"/>
    <x v="9"/>
    <x v="2"/>
    <x v="1"/>
    <s v="SKU52601"/>
    <x v="4"/>
    <s v="S"/>
    <n v="1"/>
    <s v="INR"/>
    <n v="3500.99"/>
    <s v="Delhi"/>
    <x v="3"/>
    <n v="110001"/>
    <s v="India"/>
    <s v="No"/>
  </r>
  <r>
    <n v="603"/>
    <s v="ORD202500603"/>
    <s v="CUST4190"/>
    <x v="1"/>
    <n v="48"/>
    <x v="2"/>
    <s v="2025-11-16"/>
    <x v="6"/>
    <x v="2"/>
    <x v="1"/>
    <s v="SKU51245"/>
    <x v="4"/>
    <s v="M"/>
    <n v="2"/>
    <s v="INR"/>
    <n v="3547.85"/>
    <s v="Bengaluru"/>
    <x v="1"/>
    <n v="560001"/>
    <s v="India"/>
    <s v="Yes"/>
  </r>
  <r>
    <n v="604"/>
    <s v="ORD202500604"/>
    <s v="CUST5762"/>
    <x v="1"/>
    <n v="26"/>
    <x v="1"/>
    <s v="2025-01-19"/>
    <x v="10"/>
    <x v="2"/>
    <x v="1"/>
    <s v="SKU61288"/>
    <x v="5"/>
    <s v="S"/>
    <n v="4"/>
    <s v="INR"/>
    <n v="2293.02"/>
    <s v="Delhi"/>
    <x v="3"/>
    <n v="110001"/>
    <s v="India"/>
    <s v="No"/>
  </r>
  <r>
    <n v="605"/>
    <s v="ORD202500605"/>
    <s v="CUST4578"/>
    <x v="1"/>
    <n v="33"/>
    <x v="2"/>
    <s v="2025-02-01"/>
    <x v="8"/>
    <x v="2"/>
    <x v="1"/>
    <s v="SKU97054"/>
    <x v="0"/>
    <s v="S"/>
    <n v="3"/>
    <s v="INR"/>
    <n v="2008.68"/>
    <s v="Jaipur"/>
    <x v="2"/>
    <n v="302001"/>
    <s v="India"/>
    <s v="No"/>
  </r>
  <r>
    <n v="606"/>
    <s v="ORD202500606"/>
    <s v="CUST4319"/>
    <x v="0"/>
    <n v="40"/>
    <x v="2"/>
    <s v="2025-02-16"/>
    <x v="8"/>
    <x v="2"/>
    <x v="1"/>
    <s v="SKU16161"/>
    <x v="4"/>
    <s v="M"/>
    <n v="3"/>
    <s v="INR"/>
    <n v="767.42"/>
    <s v="Lucknow"/>
    <x v="4"/>
    <n v="226001"/>
    <s v="India"/>
    <s v="Yes"/>
  </r>
  <r>
    <n v="607"/>
    <s v="ORD202500607"/>
    <s v="CUST3534"/>
    <x v="0"/>
    <n v="29"/>
    <x v="1"/>
    <s v="2025-04-11"/>
    <x v="11"/>
    <x v="2"/>
    <x v="1"/>
    <s v="SKU81110"/>
    <x v="5"/>
    <s v="S"/>
    <n v="1"/>
    <s v="INR"/>
    <n v="2042.54"/>
    <s v="Lucknow"/>
    <x v="4"/>
    <n v="226001"/>
    <s v="India"/>
    <s v="No"/>
  </r>
  <r>
    <n v="608"/>
    <s v="ORD202500608"/>
    <s v="CUST4584"/>
    <x v="1"/>
    <n v="54"/>
    <x v="0"/>
    <s v="2025-10-14"/>
    <x v="4"/>
    <x v="2"/>
    <x v="1"/>
    <s v="SKU97891"/>
    <x v="4"/>
    <s v="M"/>
    <n v="5"/>
    <s v="INR"/>
    <n v="2626.89"/>
    <s v="Mumbai"/>
    <x v="0"/>
    <n v="400001"/>
    <s v="India"/>
    <s v="Yes"/>
  </r>
  <r>
    <n v="609"/>
    <s v="ORD202500609"/>
    <s v="CUST8648"/>
    <x v="1"/>
    <n v="47"/>
    <x v="2"/>
    <s v="2025-07-26"/>
    <x v="9"/>
    <x v="2"/>
    <x v="1"/>
    <s v="SKU13788"/>
    <x v="3"/>
    <s v="L"/>
    <n v="4"/>
    <s v="INR"/>
    <n v="1572.22"/>
    <s v="Mumbai"/>
    <x v="0"/>
    <n v="400001"/>
    <s v="India"/>
    <s v="No"/>
  </r>
  <r>
    <n v="610"/>
    <s v="ORD202500610"/>
    <s v="CUST5343"/>
    <x v="0"/>
    <n v="45"/>
    <x v="2"/>
    <s v="2025-05-02"/>
    <x v="2"/>
    <x v="2"/>
    <x v="1"/>
    <s v="SKU41002"/>
    <x v="1"/>
    <s v="XL"/>
    <n v="5"/>
    <s v="INR"/>
    <n v="3056.51"/>
    <s v="Mumbai"/>
    <x v="0"/>
    <n v="400001"/>
    <s v="India"/>
    <s v="No"/>
  </r>
  <r>
    <n v="611"/>
    <s v="ORD202500611"/>
    <s v="CUST4435"/>
    <x v="0"/>
    <n v="21"/>
    <x v="1"/>
    <s v="2025-02-12"/>
    <x v="8"/>
    <x v="2"/>
    <x v="1"/>
    <s v="SKU41054"/>
    <x v="1"/>
    <s v="M"/>
    <n v="1"/>
    <s v="INR"/>
    <n v="4116.2700000000004"/>
    <s v="Delhi"/>
    <x v="3"/>
    <n v="110001"/>
    <s v="India"/>
    <s v="Yes"/>
  </r>
  <r>
    <n v="612"/>
    <s v="ORD202500612"/>
    <s v="CUST8427"/>
    <x v="0"/>
    <n v="47"/>
    <x v="2"/>
    <s v="2025-02-05"/>
    <x v="8"/>
    <x v="2"/>
    <x v="1"/>
    <s v="SKU59562"/>
    <x v="4"/>
    <s v="S"/>
    <n v="2"/>
    <s v="INR"/>
    <n v="4556.3599999999997"/>
    <s v="Delhi"/>
    <x v="3"/>
    <n v="110001"/>
    <s v="India"/>
    <s v="No"/>
  </r>
  <r>
    <n v="613"/>
    <s v="ORD202500613"/>
    <s v="CUST9606"/>
    <x v="1"/>
    <n v="38"/>
    <x v="2"/>
    <s v="2025-11-23"/>
    <x v="6"/>
    <x v="2"/>
    <x v="1"/>
    <s v="SKU61267"/>
    <x v="2"/>
    <s v="XL"/>
    <n v="4"/>
    <s v="INR"/>
    <n v="864.29"/>
    <s v="Lucknow"/>
    <x v="4"/>
    <n v="226001"/>
    <s v="India"/>
    <s v="No"/>
  </r>
  <r>
    <n v="614"/>
    <s v="ORD202500614"/>
    <s v="CUST3368"/>
    <x v="0"/>
    <n v="41"/>
    <x v="2"/>
    <s v="2025-03-07"/>
    <x v="0"/>
    <x v="2"/>
    <x v="1"/>
    <s v="SKU36617"/>
    <x v="3"/>
    <s v="L"/>
    <n v="5"/>
    <s v="INR"/>
    <n v="3765.21"/>
    <s v="Lucknow"/>
    <x v="4"/>
    <n v="226001"/>
    <s v="India"/>
    <s v="Yes"/>
  </r>
  <r>
    <n v="615"/>
    <s v="ORD202500615"/>
    <s v="CUST2740"/>
    <x v="0"/>
    <n v="60"/>
    <x v="0"/>
    <s v="2025-10-19"/>
    <x v="4"/>
    <x v="2"/>
    <x v="1"/>
    <s v="SKU54462"/>
    <x v="1"/>
    <s v="XL"/>
    <n v="2"/>
    <s v="INR"/>
    <n v="2411.65"/>
    <s v="Mumbai"/>
    <x v="0"/>
    <n v="400001"/>
    <s v="India"/>
    <s v="No"/>
  </r>
  <r>
    <n v="616"/>
    <s v="ORD202500616"/>
    <s v="CUST2062"/>
    <x v="1"/>
    <n v="53"/>
    <x v="0"/>
    <s v="2025-11-01"/>
    <x v="6"/>
    <x v="2"/>
    <x v="1"/>
    <s v="SKU65074"/>
    <x v="4"/>
    <s v="M"/>
    <n v="2"/>
    <s v="INR"/>
    <n v="4477.4799999999996"/>
    <s v="Jaipur"/>
    <x v="2"/>
    <n v="302001"/>
    <s v="India"/>
    <s v="No"/>
  </r>
  <r>
    <n v="617"/>
    <s v="ORD202500617"/>
    <s v="CUST2895"/>
    <x v="0"/>
    <n v="28"/>
    <x v="1"/>
    <s v="2025-09-20"/>
    <x v="7"/>
    <x v="2"/>
    <x v="1"/>
    <s v="SKU99229"/>
    <x v="2"/>
    <s v="S"/>
    <n v="4"/>
    <s v="INR"/>
    <n v="4256.76"/>
    <s v="Lucknow"/>
    <x v="4"/>
    <n v="226001"/>
    <s v="India"/>
    <s v="Yes"/>
  </r>
  <r>
    <n v="618"/>
    <s v="ORD202500618"/>
    <s v="CUST1434"/>
    <x v="0"/>
    <n v="50"/>
    <x v="0"/>
    <s v="2025-12-03"/>
    <x v="1"/>
    <x v="2"/>
    <x v="1"/>
    <s v="SKU84383"/>
    <x v="5"/>
    <s v="XL"/>
    <n v="2"/>
    <s v="INR"/>
    <n v="2776.8"/>
    <s v="Bengaluru"/>
    <x v="1"/>
    <n v="560001"/>
    <s v="India"/>
    <s v="Yes"/>
  </r>
  <r>
    <n v="619"/>
    <s v="ORD202500619"/>
    <s v="CUST7566"/>
    <x v="0"/>
    <n v="53"/>
    <x v="0"/>
    <s v="2025-04-04"/>
    <x v="11"/>
    <x v="2"/>
    <x v="1"/>
    <s v="SKU80091"/>
    <x v="4"/>
    <s v="XL"/>
    <n v="4"/>
    <s v="INR"/>
    <n v="401.29"/>
    <s v="Lucknow"/>
    <x v="4"/>
    <n v="226001"/>
    <s v="India"/>
    <s v="No"/>
  </r>
  <r>
    <n v="620"/>
    <s v="ORD202500620"/>
    <s v="CUST4855"/>
    <x v="0"/>
    <n v="19"/>
    <x v="1"/>
    <s v="2025-11-28"/>
    <x v="6"/>
    <x v="2"/>
    <x v="1"/>
    <s v="SKU58353"/>
    <x v="2"/>
    <s v="M"/>
    <n v="3"/>
    <s v="INR"/>
    <n v="4837.58"/>
    <s v="Delhi"/>
    <x v="3"/>
    <n v="110001"/>
    <s v="India"/>
    <s v="No"/>
  </r>
  <r>
    <n v="621"/>
    <s v="ORD202500621"/>
    <s v="CUST3578"/>
    <x v="0"/>
    <n v="33"/>
    <x v="2"/>
    <s v="2025-08-12"/>
    <x v="5"/>
    <x v="2"/>
    <x v="1"/>
    <s v="SKU67019"/>
    <x v="5"/>
    <s v="XL"/>
    <n v="5"/>
    <s v="INR"/>
    <n v="3614.04"/>
    <s v="Bengaluru"/>
    <x v="1"/>
    <n v="560001"/>
    <s v="India"/>
    <s v="No"/>
  </r>
  <r>
    <n v="622"/>
    <s v="ORD202500622"/>
    <s v="CUST6732"/>
    <x v="0"/>
    <n v="59"/>
    <x v="0"/>
    <s v="2025-02-27"/>
    <x v="8"/>
    <x v="2"/>
    <x v="1"/>
    <s v="SKU81437"/>
    <x v="3"/>
    <s v="L"/>
    <n v="1"/>
    <s v="INR"/>
    <n v="2322.92"/>
    <s v="Mumbai"/>
    <x v="0"/>
    <n v="400001"/>
    <s v="India"/>
    <s v="Yes"/>
  </r>
  <r>
    <n v="623"/>
    <s v="ORD202500623"/>
    <s v="CUST1584"/>
    <x v="1"/>
    <n v="51"/>
    <x v="0"/>
    <s v="2025-07-13"/>
    <x v="9"/>
    <x v="2"/>
    <x v="1"/>
    <s v="SKU87643"/>
    <x v="5"/>
    <s v="M"/>
    <n v="4"/>
    <s v="INR"/>
    <n v="1148.3699999999999"/>
    <s v="Delhi"/>
    <x v="3"/>
    <n v="110001"/>
    <s v="India"/>
    <s v="No"/>
  </r>
  <r>
    <n v="624"/>
    <s v="ORD202500624"/>
    <s v="CUST5271"/>
    <x v="0"/>
    <n v="60"/>
    <x v="0"/>
    <s v="2025-09-13"/>
    <x v="7"/>
    <x v="2"/>
    <x v="1"/>
    <s v="SKU32694"/>
    <x v="1"/>
    <s v="S"/>
    <n v="1"/>
    <s v="INR"/>
    <n v="3482.92"/>
    <s v="Delhi"/>
    <x v="3"/>
    <n v="110001"/>
    <s v="India"/>
    <s v="No"/>
  </r>
  <r>
    <n v="625"/>
    <s v="ORD202500625"/>
    <s v="CUST6462"/>
    <x v="0"/>
    <n v="23"/>
    <x v="1"/>
    <s v="2025-04-28"/>
    <x v="11"/>
    <x v="2"/>
    <x v="1"/>
    <s v="SKU98957"/>
    <x v="4"/>
    <s v="XL"/>
    <n v="2"/>
    <s v="INR"/>
    <n v="375.32"/>
    <s v="Delhi"/>
    <x v="3"/>
    <n v="110001"/>
    <s v="India"/>
    <s v="Yes"/>
  </r>
  <r>
    <n v="626"/>
    <s v="ORD202500626"/>
    <s v="CUST8853"/>
    <x v="1"/>
    <n v="27"/>
    <x v="1"/>
    <s v="2025-10-08"/>
    <x v="4"/>
    <x v="2"/>
    <x v="1"/>
    <s v="SKU14363"/>
    <x v="0"/>
    <s v="L"/>
    <n v="2"/>
    <s v="INR"/>
    <n v="2930.19"/>
    <s v="Mumbai"/>
    <x v="0"/>
    <n v="400001"/>
    <s v="India"/>
    <s v="Yes"/>
  </r>
  <r>
    <n v="627"/>
    <s v="ORD202500627"/>
    <s v="CUST9118"/>
    <x v="1"/>
    <n v="35"/>
    <x v="2"/>
    <s v="2025-07-03"/>
    <x v="9"/>
    <x v="2"/>
    <x v="1"/>
    <s v="SKU21473"/>
    <x v="1"/>
    <s v="S"/>
    <n v="4"/>
    <s v="INR"/>
    <n v="691.73"/>
    <s v="Jaipur"/>
    <x v="2"/>
    <n v="302001"/>
    <s v="India"/>
    <s v="No"/>
  </r>
  <r>
    <n v="628"/>
    <s v="ORD202500628"/>
    <s v="CUST9643"/>
    <x v="1"/>
    <n v="56"/>
    <x v="0"/>
    <s v="2025-09-27"/>
    <x v="7"/>
    <x v="2"/>
    <x v="1"/>
    <s v="SKU66153"/>
    <x v="0"/>
    <s v="L"/>
    <n v="3"/>
    <s v="INR"/>
    <n v="2596.2600000000002"/>
    <s v="Bengaluru"/>
    <x v="1"/>
    <n v="560001"/>
    <s v="India"/>
    <s v="Yes"/>
  </r>
  <r>
    <n v="629"/>
    <s v="ORD202500629"/>
    <s v="CUST1612"/>
    <x v="1"/>
    <n v="52"/>
    <x v="0"/>
    <s v="2025-03-06"/>
    <x v="0"/>
    <x v="2"/>
    <x v="1"/>
    <s v="SKU39547"/>
    <x v="5"/>
    <s v="S"/>
    <n v="5"/>
    <s v="INR"/>
    <n v="1924.08"/>
    <s v="Delhi"/>
    <x v="3"/>
    <n v="110001"/>
    <s v="India"/>
    <s v="No"/>
  </r>
  <r>
    <n v="630"/>
    <s v="ORD202500630"/>
    <s v="CUST2072"/>
    <x v="1"/>
    <n v="20"/>
    <x v="1"/>
    <s v="2025-04-17"/>
    <x v="11"/>
    <x v="2"/>
    <x v="5"/>
    <s v="SKU80887"/>
    <x v="4"/>
    <s v="L"/>
    <n v="3"/>
    <s v="INR"/>
    <n v="2210.12"/>
    <s v="Bengaluru"/>
    <x v="1"/>
    <n v="560001"/>
    <s v="India"/>
    <s v="No"/>
  </r>
  <r>
    <n v="631"/>
    <s v="ORD202500631"/>
    <s v="CUST3992"/>
    <x v="1"/>
    <n v="34"/>
    <x v="2"/>
    <s v="2025-03-22"/>
    <x v="0"/>
    <x v="2"/>
    <x v="5"/>
    <s v="SKU65706"/>
    <x v="2"/>
    <s v="L"/>
    <n v="4"/>
    <s v="INR"/>
    <n v="2026.42"/>
    <s v="Bengaluru"/>
    <x v="1"/>
    <n v="560001"/>
    <s v="India"/>
    <s v="No"/>
  </r>
  <r>
    <n v="632"/>
    <s v="ORD202500632"/>
    <s v="CUST9034"/>
    <x v="1"/>
    <n v="19"/>
    <x v="1"/>
    <s v="2025-11-17"/>
    <x v="6"/>
    <x v="2"/>
    <x v="0"/>
    <s v="SKU95844"/>
    <x v="3"/>
    <s v="S"/>
    <n v="3"/>
    <s v="INR"/>
    <n v="1542.47"/>
    <s v="Lucknow"/>
    <x v="4"/>
    <n v="226001"/>
    <s v="India"/>
    <s v="No"/>
  </r>
  <r>
    <n v="633"/>
    <s v="ORD202500633"/>
    <s v="CUST4270"/>
    <x v="0"/>
    <n v="52"/>
    <x v="0"/>
    <s v="2025-07-11"/>
    <x v="9"/>
    <x v="2"/>
    <x v="1"/>
    <s v="SKU34324"/>
    <x v="2"/>
    <s v="S"/>
    <n v="4"/>
    <s v="INR"/>
    <n v="1394.92"/>
    <s v="Lucknow"/>
    <x v="4"/>
    <n v="226001"/>
    <s v="India"/>
    <s v="No"/>
  </r>
  <r>
    <n v="634"/>
    <s v="ORD202500634"/>
    <s v="CUST8455"/>
    <x v="1"/>
    <n v="22"/>
    <x v="1"/>
    <s v="2025-06-10"/>
    <x v="3"/>
    <x v="2"/>
    <x v="2"/>
    <s v="SKU10963"/>
    <x v="2"/>
    <s v="XL"/>
    <n v="1"/>
    <s v="INR"/>
    <n v="1410.91"/>
    <s v="Lucknow"/>
    <x v="4"/>
    <n v="226001"/>
    <s v="India"/>
    <s v="Yes"/>
  </r>
  <r>
    <n v="635"/>
    <s v="ORD202500635"/>
    <s v="CUST9187"/>
    <x v="0"/>
    <n v="31"/>
    <x v="2"/>
    <s v="2025-06-30"/>
    <x v="3"/>
    <x v="2"/>
    <x v="3"/>
    <s v="SKU30155"/>
    <x v="5"/>
    <s v="L"/>
    <n v="2"/>
    <s v="INR"/>
    <n v="2625.25"/>
    <s v="Jaipur"/>
    <x v="2"/>
    <n v="302001"/>
    <s v="India"/>
    <s v="No"/>
  </r>
  <r>
    <n v="636"/>
    <s v="ORD202500636"/>
    <s v="CUST1441"/>
    <x v="0"/>
    <n v="22"/>
    <x v="1"/>
    <s v="2025-09-14"/>
    <x v="7"/>
    <x v="2"/>
    <x v="2"/>
    <s v="SKU40926"/>
    <x v="4"/>
    <s v="M"/>
    <n v="3"/>
    <s v="INR"/>
    <n v="2468.2600000000002"/>
    <s v="Jaipur"/>
    <x v="2"/>
    <n v="302001"/>
    <s v="India"/>
    <s v="Yes"/>
  </r>
  <r>
    <n v="637"/>
    <s v="ORD202500637"/>
    <s v="CUST7201"/>
    <x v="1"/>
    <n v="46"/>
    <x v="2"/>
    <s v="2025-02-13"/>
    <x v="8"/>
    <x v="2"/>
    <x v="4"/>
    <s v="SKU68008"/>
    <x v="0"/>
    <s v="L"/>
    <n v="2"/>
    <s v="INR"/>
    <n v="3674.72"/>
    <s v="Delhi"/>
    <x v="3"/>
    <n v="110001"/>
    <s v="India"/>
    <s v="No"/>
  </r>
  <r>
    <n v="638"/>
    <s v="ORD202500638"/>
    <s v="CUST8403"/>
    <x v="1"/>
    <n v="30"/>
    <x v="2"/>
    <s v="2025-02-13"/>
    <x v="8"/>
    <x v="2"/>
    <x v="5"/>
    <s v="SKU61794"/>
    <x v="3"/>
    <s v="S"/>
    <n v="3"/>
    <s v="INR"/>
    <n v="2241.3000000000002"/>
    <s v="Jaipur"/>
    <x v="2"/>
    <n v="302001"/>
    <s v="India"/>
    <s v="Yes"/>
  </r>
  <r>
    <n v="639"/>
    <s v="ORD202500639"/>
    <s v="CUST9897"/>
    <x v="1"/>
    <n v="38"/>
    <x v="2"/>
    <s v="2025-12-14"/>
    <x v="1"/>
    <x v="2"/>
    <x v="5"/>
    <s v="SKU73729"/>
    <x v="3"/>
    <s v="L"/>
    <n v="5"/>
    <s v="INR"/>
    <n v="3487.91"/>
    <s v="Delhi"/>
    <x v="3"/>
    <n v="110001"/>
    <s v="India"/>
    <s v="No"/>
  </r>
  <r>
    <n v="640"/>
    <s v="ORD202500640"/>
    <s v="CUST2114"/>
    <x v="0"/>
    <n v="24"/>
    <x v="1"/>
    <s v="2025-08-18"/>
    <x v="5"/>
    <x v="2"/>
    <x v="1"/>
    <s v="SKU92197"/>
    <x v="2"/>
    <s v="XL"/>
    <n v="4"/>
    <s v="INR"/>
    <n v="3548.48"/>
    <s v="Lucknow"/>
    <x v="4"/>
    <n v="226001"/>
    <s v="India"/>
    <s v="Yes"/>
  </r>
  <r>
    <n v="641"/>
    <s v="ORD202500641"/>
    <s v="CUST3911"/>
    <x v="0"/>
    <n v="41"/>
    <x v="2"/>
    <s v="2025-12-24"/>
    <x v="1"/>
    <x v="2"/>
    <x v="3"/>
    <s v="SKU17394"/>
    <x v="2"/>
    <s v="M"/>
    <n v="4"/>
    <s v="INR"/>
    <n v="2153.42"/>
    <s v="Jaipur"/>
    <x v="2"/>
    <n v="302001"/>
    <s v="India"/>
    <s v="Yes"/>
  </r>
  <r>
    <n v="642"/>
    <s v="ORD202500642"/>
    <s v="CUST6042"/>
    <x v="1"/>
    <n v="36"/>
    <x v="2"/>
    <s v="2025-03-21"/>
    <x v="0"/>
    <x v="2"/>
    <x v="5"/>
    <s v="SKU48365"/>
    <x v="1"/>
    <s v="XL"/>
    <n v="3"/>
    <s v="INR"/>
    <n v="4669.88"/>
    <s v="Jaipur"/>
    <x v="2"/>
    <n v="302001"/>
    <s v="India"/>
    <s v="Yes"/>
  </r>
  <r>
    <n v="643"/>
    <s v="ORD202500643"/>
    <s v="CUST3142"/>
    <x v="0"/>
    <n v="54"/>
    <x v="0"/>
    <s v="2025-12-20"/>
    <x v="1"/>
    <x v="2"/>
    <x v="2"/>
    <s v="SKU46270"/>
    <x v="3"/>
    <s v="XL"/>
    <n v="4"/>
    <s v="INR"/>
    <n v="2447.7600000000002"/>
    <s v="Jaipur"/>
    <x v="2"/>
    <n v="302001"/>
    <s v="India"/>
    <s v="Yes"/>
  </r>
  <r>
    <n v="644"/>
    <s v="ORD202500644"/>
    <s v="CUST2590"/>
    <x v="1"/>
    <n v="55"/>
    <x v="0"/>
    <s v="2025-10-07"/>
    <x v="4"/>
    <x v="2"/>
    <x v="2"/>
    <s v="SKU68374"/>
    <x v="0"/>
    <s v="S"/>
    <n v="2"/>
    <s v="INR"/>
    <n v="3534.09"/>
    <s v="Bengaluru"/>
    <x v="1"/>
    <n v="560001"/>
    <s v="India"/>
    <s v="No"/>
  </r>
  <r>
    <n v="645"/>
    <s v="ORD202500645"/>
    <s v="CUST3078"/>
    <x v="1"/>
    <n v="33"/>
    <x v="2"/>
    <s v="2025-11-11"/>
    <x v="6"/>
    <x v="2"/>
    <x v="2"/>
    <s v="SKU31431"/>
    <x v="5"/>
    <s v="M"/>
    <n v="3"/>
    <s v="INR"/>
    <n v="4275.03"/>
    <s v="Delhi"/>
    <x v="3"/>
    <n v="110001"/>
    <s v="India"/>
    <s v="No"/>
  </r>
  <r>
    <n v="646"/>
    <s v="ORD202500646"/>
    <s v="CUST4874"/>
    <x v="1"/>
    <n v="59"/>
    <x v="0"/>
    <s v="2025-03-05"/>
    <x v="0"/>
    <x v="2"/>
    <x v="2"/>
    <s v="SKU74894"/>
    <x v="1"/>
    <s v="L"/>
    <n v="5"/>
    <s v="INR"/>
    <n v="529.62"/>
    <s v="Bengaluru"/>
    <x v="1"/>
    <n v="560001"/>
    <s v="India"/>
    <s v="Yes"/>
  </r>
  <r>
    <n v="647"/>
    <s v="ORD202500647"/>
    <s v="CUST3310"/>
    <x v="0"/>
    <n v="43"/>
    <x v="2"/>
    <s v="2025-11-11"/>
    <x v="6"/>
    <x v="2"/>
    <x v="2"/>
    <s v="SKU14245"/>
    <x v="0"/>
    <s v="S"/>
    <n v="4"/>
    <s v="INR"/>
    <n v="890.09"/>
    <s v="Delhi"/>
    <x v="3"/>
    <n v="110001"/>
    <s v="India"/>
    <s v="Yes"/>
  </r>
  <r>
    <n v="648"/>
    <s v="ORD202500648"/>
    <s v="CUST8270"/>
    <x v="0"/>
    <n v="50"/>
    <x v="0"/>
    <s v="2025-05-20"/>
    <x v="2"/>
    <x v="2"/>
    <x v="2"/>
    <s v="SKU56133"/>
    <x v="0"/>
    <s v="M"/>
    <n v="4"/>
    <s v="INR"/>
    <n v="4952.1899999999996"/>
    <s v="Jaipur"/>
    <x v="2"/>
    <n v="302001"/>
    <s v="India"/>
    <s v="Yes"/>
  </r>
  <r>
    <n v="649"/>
    <s v="ORD202500649"/>
    <s v="CUST8322"/>
    <x v="1"/>
    <n v="20"/>
    <x v="1"/>
    <s v="2025-09-18"/>
    <x v="7"/>
    <x v="2"/>
    <x v="2"/>
    <s v="SKU77471"/>
    <x v="2"/>
    <s v="M"/>
    <n v="2"/>
    <s v="INR"/>
    <n v="1815.46"/>
    <s v="Bengaluru"/>
    <x v="1"/>
    <n v="560001"/>
    <s v="India"/>
    <s v="No"/>
  </r>
  <r>
    <n v="650"/>
    <s v="ORD202500650"/>
    <s v="CUST2252"/>
    <x v="0"/>
    <n v="40"/>
    <x v="2"/>
    <s v="2025-11-16"/>
    <x v="6"/>
    <x v="2"/>
    <x v="2"/>
    <s v="SKU22332"/>
    <x v="5"/>
    <s v="S"/>
    <n v="5"/>
    <s v="INR"/>
    <n v="4190.87"/>
    <s v="Delhi"/>
    <x v="3"/>
    <n v="110001"/>
    <s v="India"/>
    <s v="No"/>
  </r>
  <r>
    <n v="651"/>
    <s v="ORD202500651"/>
    <s v="CUST2046"/>
    <x v="0"/>
    <n v="41"/>
    <x v="2"/>
    <s v="2025-11-25"/>
    <x v="6"/>
    <x v="2"/>
    <x v="2"/>
    <s v="SKU43720"/>
    <x v="3"/>
    <s v="S"/>
    <n v="1"/>
    <s v="INR"/>
    <n v="4511.0600000000004"/>
    <s v="Jaipur"/>
    <x v="2"/>
    <n v="302001"/>
    <s v="India"/>
    <s v="Yes"/>
  </r>
  <r>
    <n v="652"/>
    <s v="ORD202500652"/>
    <s v="CUST3913"/>
    <x v="0"/>
    <n v="46"/>
    <x v="2"/>
    <s v="2025-02-22"/>
    <x v="8"/>
    <x v="2"/>
    <x v="2"/>
    <s v="SKU49987"/>
    <x v="2"/>
    <s v="M"/>
    <n v="2"/>
    <s v="INR"/>
    <n v="2386.14"/>
    <s v="Bengaluru"/>
    <x v="1"/>
    <n v="560001"/>
    <s v="India"/>
    <s v="No"/>
  </r>
  <r>
    <n v="653"/>
    <s v="ORD202500653"/>
    <s v="CUST5259"/>
    <x v="1"/>
    <n v="19"/>
    <x v="1"/>
    <s v="2025-04-30"/>
    <x v="11"/>
    <x v="2"/>
    <x v="2"/>
    <s v="SKU94438"/>
    <x v="1"/>
    <s v="L"/>
    <n v="4"/>
    <s v="INR"/>
    <n v="4585"/>
    <s v="Bengaluru"/>
    <x v="1"/>
    <n v="560001"/>
    <s v="India"/>
    <s v="No"/>
  </r>
  <r>
    <n v="654"/>
    <s v="ORD202500654"/>
    <s v="CUST2864"/>
    <x v="0"/>
    <n v="57"/>
    <x v="0"/>
    <s v="2025-03-14"/>
    <x v="0"/>
    <x v="2"/>
    <x v="2"/>
    <s v="SKU13436"/>
    <x v="4"/>
    <s v="XL"/>
    <n v="5"/>
    <s v="INR"/>
    <n v="4095.28"/>
    <s v="Lucknow"/>
    <x v="4"/>
    <n v="226001"/>
    <s v="India"/>
    <s v="Yes"/>
  </r>
  <r>
    <n v="655"/>
    <s v="ORD202500655"/>
    <s v="CUST7570"/>
    <x v="0"/>
    <n v="26"/>
    <x v="1"/>
    <s v="2025-12-13"/>
    <x v="1"/>
    <x v="2"/>
    <x v="2"/>
    <s v="SKU27698"/>
    <x v="4"/>
    <s v="L"/>
    <n v="3"/>
    <s v="INR"/>
    <n v="910.39"/>
    <s v="Mumbai"/>
    <x v="0"/>
    <n v="400001"/>
    <s v="India"/>
    <s v="No"/>
  </r>
  <r>
    <n v="656"/>
    <s v="ORD202500656"/>
    <s v="CUST5191"/>
    <x v="0"/>
    <n v="52"/>
    <x v="0"/>
    <s v="2025-01-15"/>
    <x v="10"/>
    <x v="2"/>
    <x v="2"/>
    <s v="SKU70904"/>
    <x v="0"/>
    <s v="S"/>
    <n v="5"/>
    <s v="INR"/>
    <n v="629.58000000000004"/>
    <s v="Lucknow"/>
    <x v="4"/>
    <n v="226001"/>
    <s v="India"/>
    <s v="No"/>
  </r>
  <r>
    <n v="657"/>
    <s v="ORD202500657"/>
    <s v="CUST6998"/>
    <x v="0"/>
    <n v="30"/>
    <x v="2"/>
    <s v="2025-01-22"/>
    <x v="10"/>
    <x v="2"/>
    <x v="2"/>
    <s v="SKU16537"/>
    <x v="0"/>
    <s v="L"/>
    <n v="3"/>
    <s v="INR"/>
    <n v="3978.99"/>
    <s v="Lucknow"/>
    <x v="4"/>
    <n v="226001"/>
    <s v="India"/>
    <s v="Yes"/>
  </r>
  <r>
    <n v="658"/>
    <s v="ORD202500658"/>
    <s v="CUST8558"/>
    <x v="1"/>
    <n v="23"/>
    <x v="1"/>
    <s v="2025-10-22"/>
    <x v="4"/>
    <x v="2"/>
    <x v="2"/>
    <s v="SKU70069"/>
    <x v="3"/>
    <s v="S"/>
    <n v="4"/>
    <s v="INR"/>
    <n v="3581.68"/>
    <s v="Bengaluru"/>
    <x v="1"/>
    <n v="560001"/>
    <s v="India"/>
    <s v="Yes"/>
  </r>
  <r>
    <n v="659"/>
    <s v="ORD202500659"/>
    <s v="CUST9287"/>
    <x v="0"/>
    <n v="19"/>
    <x v="1"/>
    <s v="2025-12-02"/>
    <x v="1"/>
    <x v="2"/>
    <x v="2"/>
    <s v="SKU82770"/>
    <x v="3"/>
    <s v="S"/>
    <n v="1"/>
    <s v="INR"/>
    <n v="1583.84"/>
    <s v="Lucknow"/>
    <x v="4"/>
    <n v="226001"/>
    <s v="India"/>
    <s v="No"/>
  </r>
  <r>
    <n v="660"/>
    <s v="ORD202500660"/>
    <s v="CUST5493"/>
    <x v="0"/>
    <n v="47"/>
    <x v="2"/>
    <s v="2025-03-06"/>
    <x v="0"/>
    <x v="2"/>
    <x v="2"/>
    <s v="SKU49000"/>
    <x v="2"/>
    <s v="S"/>
    <n v="4"/>
    <s v="INR"/>
    <n v="2127.85"/>
    <s v="Lucknow"/>
    <x v="4"/>
    <n v="226001"/>
    <s v="India"/>
    <s v="Yes"/>
  </r>
  <r>
    <n v="661"/>
    <s v="ORD202500661"/>
    <s v="CUST1819"/>
    <x v="0"/>
    <n v="24"/>
    <x v="1"/>
    <s v="2025-08-20"/>
    <x v="5"/>
    <x v="2"/>
    <x v="2"/>
    <s v="SKU55333"/>
    <x v="4"/>
    <s v="L"/>
    <n v="5"/>
    <s v="INR"/>
    <n v="2603.7800000000002"/>
    <s v="Jaipur"/>
    <x v="2"/>
    <n v="302001"/>
    <s v="India"/>
    <s v="No"/>
  </r>
  <r>
    <n v="662"/>
    <s v="ORD202500662"/>
    <s v="CUST1274"/>
    <x v="0"/>
    <n v="23"/>
    <x v="1"/>
    <s v="2025-01-26"/>
    <x v="10"/>
    <x v="2"/>
    <x v="2"/>
    <s v="SKU64140"/>
    <x v="3"/>
    <s v="XL"/>
    <n v="1"/>
    <s v="INR"/>
    <n v="1872.21"/>
    <s v="Delhi"/>
    <x v="3"/>
    <n v="110001"/>
    <s v="India"/>
    <s v="No"/>
  </r>
  <r>
    <n v="663"/>
    <s v="ORD202500663"/>
    <s v="CUST9377"/>
    <x v="0"/>
    <n v="19"/>
    <x v="1"/>
    <s v="2025-07-13"/>
    <x v="9"/>
    <x v="2"/>
    <x v="2"/>
    <s v="SKU30539"/>
    <x v="2"/>
    <s v="M"/>
    <n v="1"/>
    <s v="INR"/>
    <n v="4771.5600000000004"/>
    <s v="Jaipur"/>
    <x v="2"/>
    <n v="302001"/>
    <s v="India"/>
    <s v="Yes"/>
  </r>
  <r>
    <n v="664"/>
    <s v="ORD202500664"/>
    <s v="CUST1862"/>
    <x v="0"/>
    <n v="30"/>
    <x v="2"/>
    <s v="2025-07-06"/>
    <x v="9"/>
    <x v="2"/>
    <x v="2"/>
    <s v="SKU69309"/>
    <x v="2"/>
    <s v="L"/>
    <n v="4"/>
    <s v="INR"/>
    <n v="1550.19"/>
    <s v="Jaipur"/>
    <x v="2"/>
    <n v="302001"/>
    <s v="India"/>
    <s v="Yes"/>
  </r>
  <r>
    <n v="665"/>
    <s v="ORD202500665"/>
    <s v="CUST1130"/>
    <x v="1"/>
    <n v="56"/>
    <x v="0"/>
    <s v="2025-06-28"/>
    <x v="3"/>
    <x v="2"/>
    <x v="2"/>
    <s v="SKU70525"/>
    <x v="2"/>
    <s v="L"/>
    <n v="3"/>
    <s v="INR"/>
    <n v="4109.04"/>
    <s v="Jaipur"/>
    <x v="2"/>
    <n v="302001"/>
    <s v="India"/>
    <s v="Yes"/>
  </r>
  <r>
    <n v="666"/>
    <s v="ORD202500666"/>
    <s v="CUST7872"/>
    <x v="0"/>
    <n v="40"/>
    <x v="2"/>
    <s v="2025-01-05"/>
    <x v="10"/>
    <x v="2"/>
    <x v="2"/>
    <s v="SKU36462"/>
    <x v="1"/>
    <s v="L"/>
    <n v="3"/>
    <s v="INR"/>
    <n v="2401.83"/>
    <s v="Delhi"/>
    <x v="3"/>
    <n v="110001"/>
    <s v="India"/>
    <s v="Yes"/>
  </r>
  <r>
    <n v="667"/>
    <s v="ORD202500667"/>
    <s v="CUST2656"/>
    <x v="1"/>
    <n v="48"/>
    <x v="2"/>
    <s v="2025-01-01"/>
    <x v="10"/>
    <x v="2"/>
    <x v="2"/>
    <s v="SKU85651"/>
    <x v="1"/>
    <s v="L"/>
    <n v="2"/>
    <s v="INR"/>
    <n v="2512.66"/>
    <s v="Bengaluru"/>
    <x v="1"/>
    <n v="560001"/>
    <s v="India"/>
    <s v="Yes"/>
  </r>
  <r>
    <n v="668"/>
    <s v="ORD202500668"/>
    <s v="CUST9330"/>
    <x v="1"/>
    <n v="40"/>
    <x v="2"/>
    <s v="2025-07-02"/>
    <x v="9"/>
    <x v="2"/>
    <x v="2"/>
    <s v="SKU18014"/>
    <x v="5"/>
    <s v="L"/>
    <n v="5"/>
    <s v="INR"/>
    <n v="2987.52"/>
    <s v="Delhi"/>
    <x v="3"/>
    <n v="110001"/>
    <s v="India"/>
    <s v="No"/>
  </r>
  <r>
    <n v="669"/>
    <s v="ORD202500669"/>
    <s v="CUST9703"/>
    <x v="0"/>
    <n v="56"/>
    <x v="0"/>
    <s v="2025-03-28"/>
    <x v="0"/>
    <x v="2"/>
    <x v="2"/>
    <s v="SKU10128"/>
    <x v="5"/>
    <s v="L"/>
    <n v="4"/>
    <s v="INR"/>
    <n v="1606.98"/>
    <s v="Delhi"/>
    <x v="3"/>
    <n v="110001"/>
    <s v="India"/>
    <s v="No"/>
  </r>
  <r>
    <n v="670"/>
    <s v="ORD202500670"/>
    <s v="CUST2589"/>
    <x v="0"/>
    <n v="23"/>
    <x v="1"/>
    <s v="2025-02-06"/>
    <x v="8"/>
    <x v="2"/>
    <x v="2"/>
    <s v="SKU34843"/>
    <x v="5"/>
    <s v="S"/>
    <n v="2"/>
    <s v="INR"/>
    <n v="3304.63"/>
    <s v="Lucknow"/>
    <x v="4"/>
    <n v="226001"/>
    <s v="India"/>
    <s v="Yes"/>
  </r>
  <r>
    <n v="671"/>
    <s v="ORD202500671"/>
    <s v="CUST3636"/>
    <x v="0"/>
    <n v="51"/>
    <x v="0"/>
    <s v="2025-08-13"/>
    <x v="5"/>
    <x v="2"/>
    <x v="2"/>
    <s v="SKU83608"/>
    <x v="1"/>
    <s v="M"/>
    <n v="1"/>
    <s v="INR"/>
    <n v="4084.2"/>
    <s v="Delhi"/>
    <x v="3"/>
    <n v="110001"/>
    <s v="India"/>
    <s v="Yes"/>
  </r>
  <r>
    <n v="672"/>
    <s v="ORD202500672"/>
    <s v="CUST8922"/>
    <x v="0"/>
    <n v="27"/>
    <x v="1"/>
    <s v="2025-08-22"/>
    <x v="5"/>
    <x v="2"/>
    <x v="2"/>
    <s v="SKU73699"/>
    <x v="2"/>
    <s v="M"/>
    <n v="2"/>
    <s v="INR"/>
    <n v="2653.78"/>
    <s v="Delhi"/>
    <x v="3"/>
    <n v="110001"/>
    <s v="India"/>
    <s v="Yes"/>
  </r>
  <r>
    <n v="673"/>
    <s v="ORD202500673"/>
    <s v="CUST7874"/>
    <x v="0"/>
    <n v="36"/>
    <x v="2"/>
    <s v="2025-04-03"/>
    <x v="11"/>
    <x v="2"/>
    <x v="2"/>
    <s v="SKU52516"/>
    <x v="1"/>
    <s v="L"/>
    <n v="3"/>
    <s v="INR"/>
    <n v="3367.17"/>
    <s v="Bengaluru"/>
    <x v="1"/>
    <n v="560001"/>
    <s v="India"/>
    <s v="No"/>
  </r>
  <r>
    <n v="674"/>
    <s v="ORD202500674"/>
    <s v="CUST9646"/>
    <x v="1"/>
    <n v="24"/>
    <x v="1"/>
    <s v="2025-03-28"/>
    <x v="0"/>
    <x v="2"/>
    <x v="2"/>
    <s v="SKU70539"/>
    <x v="4"/>
    <s v="L"/>
    <n v="4"/>
    <s v="INR"/>
    <n v="3036.18"/>
    <s v="Mumbai"/>
    <x v="0"/>
    <n v="400001"/>
    <s v="India"/>
    <s v="Yes"/>
  </r>
  <r>
    <n v="675"/>
    <s v="ORD202500675"/>
    <s v="CUST9466"/>
    <x v="1"/>
    <n v="55"/>
    <x v="0"/>
    <s v="2025-02-13"/>
    <x v="8"/>
    <x v="2"/>
    <x v="2"/>
    <s v="SKU19206"/>
    <x v="0"/>
    <s v="M"/>
    <n v="3"/>
    <s v="INR"/>
    <n v="2086.02"/>
    <s v="Mumbai"/>
    <x v="0"/>
    <n v="400001"/>
    <s v="India"/>
    <s v="No"/>
  </r>
  <r>
    <n v="676"/>
    <s v="ORD202500676"/>
    <s v="CUST5566"/>
    <x v="1"/>
    <n v="60"/>
    <x v="0"/>
    <s v="2025-07-02"/>
    <x v="9"/>
    <x v="2"/>
    <x v="2"/>
    <s v="SKU12420"/>
    <x v="5"/>
    <s v="L"/>
    <n v="5"/>
    <s v="INR"/>
    <n v="1635.99"/>
    <s v="Bengaluru"/>
    <x v="1"/>
    <n v="560001"/>
    <s v="India"/>
    <s v="Yes"/>
  </r>
  <r>
    <n v="677"/>
    <s v="ORD202500677"/>
    <s v="CUST6898"/>
    <x v="0"/>
    <n v="23"/>
    <x v="1"/>
    <s v="2025-01-25"/>
    <x v="10"/>
    <x v="2"/>
    <x v="2"/>
    <s v="SKU11079"/>
    <x v="4"/>
    <s v="XL"/>
    <n v="2"/>
    <s v="INR"/>
    <n v="3732.83"/>
    <s v="Mumbai"/>
    <x v="0"/>
    <n v="400001"/>
    <s v="India"/>
    <s v="Yes"/>
  </r>
  <r>
    <n v="678"/>
    <s v="ORD202500678"/>
    <s v="CUST8738"/>
    <x v="0"/>
    <n v="53"/>
    <x v="0"/>
    <s v="2025-10-03"/>
    <x v="4"/>
    <x v="2"/>
    <x v="2"/>
    <s v="SKU71947"/>
    <x v="1"/>
    <s v="S"/>
    <n v="5"/>
    <s v="INR"/>
    <n v="4203.1400000000003"/>
    <s v="Bengaluru"/>
    <x v="1"/>
    <n v="560001"/>
    <s v="India"/>
    <s v="No"/>
  </r>
  <r>
    <n v="679"/>
    <s v="ORD202500679"/>
    <s v="CUST8648"/>
    <x v="1"/>
    <n v="23"/>
    <x v="1"/>
    <s v="2025-08-27"/>
    <x v="5"/>
    <x v="2"/>
    <x v="2"/>
    <s v="SKU18583"/>
    <x v="1"/>
    <s v="S"/>
    <n v="2"/>
    <s v="INR"/>
    <n v="2456.84"/>
    <s v="Delhi"/>
    <x v="3"/>
    <n v="110001"/>
    <s v="India"/>
    <s v="Yes"/>
  </r>
  <r>
    <n v="680"/>
    <s v="ORD202500680"/>
    <s v="CUST8790"/>
    <x v="0"/>
    <n v="56"/>
    <x v="0"/>
    <s v="2025-01-31"/>
    <x v="10"/>
    <x v="2"/>
    <x v="2"/>
    <s v="SKU19187"/>
    <x v="5"/>
    <s v="S"/>
    <n v="5"/>
    <s v="INR"/>
    <n v="4481.32"/>
    <s v="Mumbai"/>
    <x v="0"/>
    <n v="400001"/>
    <s v="India"/>
    <s v="Yes"/>
  </r>
  <r>
    <n v="681"/>
    <s v="ORD202500681"/>
    <s v="CUST2900"/>
    <x v="0"/>
    <n v="35"/>
    <x v="2"/>
    <s v="2025-08-31"/>
    <x v="5"/>
    <x v="2"/>
    <x v="2"/>
    <s v="SKU36822"/>
    <x v="1"/>
    <s v="XL"/>
    <n v="3"/>
    <s v="INR"/>
    <n v="3840.07"/>
    <s v="Jaipur"/>
    <x v="2"/>
    <n v="302001"/>
    <s v="India"/>
    <s v="Yes"/>
  </r>
  <r>
    <n v="682"/>
    <s v="ORD202500682"/>
    <s v="CUST2750"/>
    <x v="1"/>
    <n v="29"/>
    <x v="1"/>
    <s v="2025-08-08"/>
    <x v="5"/>
    <x v="2"/>
    <x v="2"/>
    <s v="SKU53012"/>
    <x v="0"/>
    <s v="M"/>
    <n v="3"/>
    <s v="INR"/>
    <n v="2167.64"/>
    <s v="Delhi"/>
    <x v="3"/>
    <n v="110001"/>
    <s v="India"/>
    <s v="No"/>
  </r>
  <r>
    <n v="683"/>
    <s v="ORD202500683"/>
    <s v="CUST7790"/>
    <x v="0"/>
    <n v="52"/>
    <x v="0"/>
    <s v="2025-12-20"/>
    <x v="1"/>
    <x v="2"/>
    <x v="2"/>
    <s v="SKU56077"/>
    <x v="4"/>
    <s v="XL"/>
    <n v="3"/>
    <s v="INR"/>
    <n v="4461.66"/>
    <s v="Lucknow"/>
    <x v="4"/>
    <n v="226001"/>
    <s v="India"/>
    <s v="Yes"/>
  </r>
  <r>
    <n v="684"/>
    <s v="ORD202500684"/>
    <s v="CUST4125"/>
    <x v="1"/>
    <n v="57"/>
    <x v="0"/>
    <s v="2025-04-08"/>
    <x v="11"/>
    <x v="2"/>
    <x v="2"/>
    <s v="SKU78732"/>
    <x v="5"/>
    <s v="S"/>
    <n v="1"/>
    <s v="INR"/>
    <n v="2956.04"/>
    <s v="Lucknow"/>
    <x v="4"/>
    <n v="226001"/>
    <s v="India"/>
    <s v="Yes"/>
  </r>
  <r>
    <n v="685"/>
    <s v="ORD202500685"/>
    <s v="CUST3129"/>
    <x v="1"/>
    <n v="36"/>
    <x v="2"/>
    <s v="2025-04-03"/>
    <x v="11"/>
    <x v="2"/>
    <x v="2"/>
    <s v="SKU27540"/>
    <x v="0"/>
    <s v="S"/>
    <n v="5"/>
    <s v="INR"/>
    <n v="3607.93"/>
    <s v="Lucknow"/>
    <x v="4"/>
    <n v="226001"/>
    <s v="India"/>
    <s v="No"/>
  </r>
  <r>
    <n v="686"/>
    <s v="ORD202500686"/>
    <s v="CUST4942"/>
    <x v="0"/>
    <n v="25"/>
    <x v="1"/>
    <s v="2025-12-17"/>
    <x v="1"/>
    <x v="2"/>
    <x v="2"/>
    <s v="SKU83203"/>
    <x v="3"/>
    <s v="M"/>
    <n v="4"/>
    <s v="INR"/>
    <n v="1773.88"/>
    <s v="Jaipur"/>
    <x v="2"/>
    <n v="302001"/>
    <s v="India"/>
    <s v="Yes"/>
  </r>
  <r>
    <n v="687"/>
    <s v="ORD202500687"/>
    <s v="CUST1785"/>
    <x v="1"/>
    <n v="51"/>
    <x v="0"/>
    <s v="2025-04-19"/>
    <x v="11"/>
    <x v="2"/>
    <x v="2"/>
    <s v="SKU72247"/>
    <x v="2"/>
    <s v="M"/>
    <n v="1"/>
    <s v="INR"/>
    <n v="2064.66"/>
    <s v="Lucknow"/>
    <x v="4"/>
    <n v="226001"/>
    <s v="India"/>
    <s v="No"/>
  </r>
  <r>
    <n v="688"/>
    <s v="ORD202500688"/>
    <s v="CUST8707"/>
    <x v="0"/>
    <n v="38"/>
    <x v="2"/>
    <s v="2025-04-21"/>
    <x v="11"/>
    <x v="2"/>
    <x v="2"/>
    <s v="SKU14186"/>
    <x v="2"/>
    <s v="XL"/>
    <n v="3"/>
    <s v="INR"/>
    <n v="710.48"/>
    <s v="Delhi"/>
    <x v="3"/>
    <n v="110001"/>
    <s v="India"/>
    <s v="Yes"/>
  </r>
  <r>
    <n v="689"/>
    <s v="ORD202500689"/>
    <s v="CUST5632"/>
    <x v="0"/>
    <n v="33"/>
    <x v="2"/>
    <s v="2025-08-29"/>
    <x v="5"/>
    <x v="2"/>
    <x v="2"/>
    <s v="SKU60380"/>
    <x v="4"/>
    <s v="M"/>
    <n v="4"/>
    <s v="INR"/>
    <n v="2134.15"/>
    <s v="Mumbai"/>
    <x v="0"/>
    <n v="400001"/>
    <s v="India"/>
    <s v="No"/>
  </r>
  <r>
    <n v="690"/>
    <s v="ORD202500690"/>
    <s v="CUST4316"/>
    <x v="1"/>
    <n v="41"/>
    <x v="2"/>
    <s v="2025-04-05"/>
    <x v="11"/>
    <x v="2"/>
    <x v="2"/>
    <s v="SKU77819"/>
    <x v="1"/>
    <s v="M"/>
    <n v="2"/>
    <s v="INR"/>
    <n v="3719.68"/>
    <s v="Bengaluru"/>
    <x v="1"/>
    <n v="560001"/>
    <s v="India"/>
    <s v="No"/>
  </r>
  <r>
    <n v="691"/>
    <s v="ORD202500691"/>
    <s v="CUST5505"/>
    <x v="0"/>
    <n v="21"/>
    <x v="1"/>
    <s v="2025-02-24"/>
    <x v="8"/>
    <x v="2"/>
    <x v="2"/>
    <s v="SKU46657"/>
    <x v="0"/>
    <s v="L"/>
    <n v="5"/>
    <s v="INR"/>
    <n v="377.21"/>
    <s v="Lucknow"/>
    <x v="4"/>
    <n v="226001"/>
    <s v="India"/>
    <s v="Yes"/>
  </r>
  <r>
    <n v="692"/>
    <s v="ORD202500692"/>
    <s v="CUST9998"/>
    <x v="0"/>
    <n v="32"/>
    <x v="2"/>
    <s v="2025-06-03"/>
    <x v="3"/>
    <x v="2"/>
    <x v="2"/>
    <s v="SKU77834"/>
    <x v="3"/>
    <s v="XL"/>
    <n v="4"/>
    <s v="INR"/>
    <n v="4584.57"/>
    <s v="Bengaluru"/>
    <x v="1"/>
    <n v="560001"/>
    <s v="India"/>
    <s v="No"/>
  </r>
  <r>
    <n v="693"/>
    <s v="ORD202500693"/>
    <s v="CUST3302"/>
    <x v="1"/>
    <n v="32"/>
    <x v="2"/>
    <s v="2025-07-04"/>
    <x v="9"/>
    <x v="2"/>
    <x v="2"/>
    <s v="SKU38127"/>
    <x v="0"/>
    <s v="M"/>
    <n v="1"/>
    <s v="INR"/>
    <n v="1299.49"/>
    <s v="Lucknow"/>
    <x v="4"/>
    <n v="226001"/>
    <s v="India"/>
    <s v="Yes"/>
  </r>
  <r>
    <n v="694"/>
    <s v="ORD202500694"/>
    <s v="CUST4032"/>
    <x v="1"/>
    <n v="23"/>
    <x v="1"/>
    <s v="2025-08-03"/>
    <x v="5"/>
    <x v="2"/>
    <x v="2"/>
    <s v="SKU70639"/>
    <x v="1"/>
    <s v="L"/>
    <n v="3"/>
    <s v="INR"/>
    <n v="485.26"/>
    <s v="Delhi"/>
    <x v="3"/>
    <n v="110001"/>
    <s v="India"/>
    <s v="Yes"/>
  </r>
  <r>
    <n v="695"/>
    <s v="ORD202500695"/>
    <s v="CUST6028"/>
    <x v="1"/>
    <n v="53"/>
    <x v="0"/>
    <s v="2025-11-29"/>
    <x v="6"/>
    <x v="2"/>
    <x v="2"/>
    <s v="SKU94189"/>
    <x v="2"/>
    <s v="L"/>
    <n v="5"/>
    <s v="INR"/>
    <n v="1141.53"/>
    <s v="Lucknow"/>
    <x v="4"/>
    <n v="226001"/>
    <s v="India"/>
    <s v="Yes"/>
  </r>
  <r>
    <n v="696"/>
    <s v="ORD202500696"/>
    <s v="CUST7336"/>
    <x v="0"/>
    <n v="36"/>
    <x v="2"/>
    <s v="2025-12-06"/>
    <x v="1"/>
    <x v="2"/>
    <x v="2"/>
    <s v="SKU11337"/>
    <x v="1"/>
    <s v="S"/>
    <n v="3"/>
    <s v="INR"/>
    <n v="1595.15"/>
    <s v="Mumbai"/>
    <x v="0"/>
    <n v="400001"/>
    <s v="India"/>
    <s v="Yes"/>
  </r>
  <r>
    <n v="697"/>
    <s v="ORD202500697"/>
    <s v="CUST7664"/>
    <x v="0"/>
    <n v="38"/>
    <x v="2"/>
    <s v="2025-04-12"/>
    <x v="11"/>
    <x v="2"/>
    <x v="2"/>
    <s v="SKU95549"/>
    <x v="4"/>
    <s v="XL"/>
    <n v="4"/>
    <s v="INR"/>
    <n v="2954.08"/>
    <s v="Mumbai"/>
    <x v="0"/>
    <n v="400001"/>
    <s v="India"/>
    <s v="No"/>
  </r>
  <r>
    <n v="698"/>
    <s v="ORD202500698"/>
    <s v="CUST5266"/>
    <x v="1"/>
    <n v="49"/>
    <x v="2"/>
    <s v="2025-03-28"/>
    <x v="0"/>
    <x v="2"/>
    <x v="2"/>
    <s v="SKU52237"/>
    <x v="3"/>
    <s v="XL"/>
    <n v="3"/>
    <s v="INR"/>
    <n v="3851.21"/>
    <s v="Bengaluru"/>
    <x v="1"/>
    <n v="560001"/>
    <s v="India"/>
    <s v="No"/>
  </r>
  <r>
    <n v="699"/>
    <s v="ORD202500699"/>
    <s v="CUST5575"/>
    <x v="1"/>
    <n v="37"/>
    <x v="2"/>
    <s v="2025-02-20"/>
    <x v="8"/>
    <x v="2"/>
    <x v="2"/>
    <s v="SKU84204"/>
    <x v="0"/>
    <s v="XL"/>
    <n v="4"/>
    <s v="INR"/>
    <n v="2974.21"/>
    <s v="Mumbai"/>
    <x v="0"/>
    <n v="400001"/>
    <s v="India"/>
    <s v="No"/>
  </r>
  <r>
    <n v="700"/>
    <s v="ORD202500700"/>
    <s v="CUST3649"/>
    <x v="0"/>
    <n v="23"/>
    <x v="1"/>
    <s v="2025-07-02"/>
    <x v="9"/>
    <x v="2"/>
    <x v="2"/>
    <s v="SKU95046"/>
    <x v="0"/>
    <s v="M"/>
    <n v="1"/>
    <s v="INR"/>
    <n v="3297.7"/>
    <s v="Mumbai"/>
    <x v="0"/>
    <n v="400001"/>
    <s v="India"/>
    <s v="No"/>
  </r>
  <r>
    <n v="701"/>
    <s v="ORD202500701"/>
    <s v="CUST8856"/>
    <x v="1"/>
    <n v="36"/>
    <x v="2"/>
    <s v="2025-03-12"/>
    <x v="0"/>
    <x v="2"/>
    <x v="2"/>
    <s v="SKU69634"/>
    <x v="3"/>
    <s v="M"/>
    <n v="1"/>
    <s v="INR"/>
    <n v="2503.96"/>
    <s v="Jaipur"/>
    <x v="2"/>
    <n v="302001"/>
    <s v="India"/>
    <s v="Yes"/>
  </r>
  <r>
    <n v="702"/>
    <s v="ORD202500702"/>
    <s v="CUST7015"/>
    <x v="0"/>
    <n v="44"/>
    <x v="2"/>
    <s v="2025-03-07"/>
    <x v="0"/>
    <x v="2"/>
    <x v="2"/>
    <s v="SKU31391"/>
    <x v="3"/>
    <s v="L"/>
    <n v="1"/>
    <s v="INR"/>
    <n v="2671.94"/>
    <s v="Mumbai"/>
    <x v="0"/>
    <n v="400001"/>
    <s v="India"/>
    <s v="No"/>
  </r>
  <r>
    <n v="703"/>
    <s v="ORD202500703"/>
    <s v="CUST5933"/>
    <x v="0"/>
    <n v="18"/>
    <x v="1"/>
    <s v="2025-10-16"/>
    <x v="4"/>
    <x v="2"/>
    <x v="2"/>
    <s v="SKU71354"/>
    <x v="1"/>
    <s v="XL"/>
    <n v="2"/>
    <s v="INR"/>
    <n v="2827.97"/>
    <s v="Lucknow"/>
    <x v="4"/>
    <n v="226001"/>
    <s v="India"/>
    <s v="Yes"/>
  </r>
  <r>
    <n v="704"/>
    <s v="ORD202500704"/>
    <s v="CUST6506"/>
    <x v="0"/>
    <n v="58"/>
    <x v="0"/>
    <s v="2025-05-30"/>
    <x v="2"/>
    <x v="2"/>
    <x v="2"/>
    <s v="SKU18807"/>
    <x v="3"/>
    <s v="M"/>
    <n v="4"/>
    <s v="INR"/>
    <n v="2656.5"/>
    <s v="Bengaluru"/>
    <x v="1"/>
    <n v="560001"/>
    <s v="India"/>
    <s v="Yes"/>
  </r>
  <r>
    <n v="705"/>
    <s v="ORD202500705"/>
    <s v="CUST5511"/>
    <x v="0"/>
    <n v="59"/>
    <x v="0"/>
    <s v="2025-09-16"/>
    <x v="7"/>
    <x v="2"/>
    <x v="2"/>
    <s v="SKU34039"/>
    <x v="5"/>
    <s v="S"/>
    <n v="1"/>
    <s v="INR"/>
    <n v="4942.3900000000003"/>
    <s v="Mumbai"/>
    <x v="0"/>
    <n v="400001"/>
    <s v="India"/>
    <s v="No"/>
  </r>
  <r>
    <n v="706"/>
    <s v="ORD202500706"/>
    <s v="CUST3940"/>
    <x v="0"/>
    <n v="18"/>
    <x v="1"/>
    <s v="2025-02-01"/>
    <x v="8"/>
    <x v="2"/>
    <x v="2"/>
    <s v="SKU77489"/>
    <x v="3"/>
    <s v="S"/>
    <n v="1"/>
    <s v="INR"/>
    <n v="3211.77"/>
    <s v="Lucknow"/>
    <x v="4"/>
    <n v="226001"/>
    <s v="India"/>
    <s v="Yes"/>
  </r>
  <r>
    <n v="707"/>
    <s v="ORD202500707"/>
    <s v="CUST5220"/>
    <x v="1"/>
    <n v="49"/>
    <x v="2"/>
    <s v="2025-03-04"/>
    <x v="0"/>
    <x v="2"/>
    <x v="2"/>
    <s v="SKU98692"/>
    <x v="4"/>
    <s v="S"/>
    <n v="5"/>
    <s v="INR"/>
    <n v="2374.0700000000002"/>
    <s v="Delhi"/>
    <x v="3"/>
    <n v="110001"/>
    <s v="India"/>
    <s v="No"/>
  </r>
  <r>
    <n v="708"/>
    <s v="ORD202500708"/>
    <s v="CUST7721"/>
    <x v="0"/>
    <n v="23"/>
    <x v="1"/>
    <s v="2025-04-20"/>
    <x v="11"/>
    <x v="2"/>
    <x v="2"/>
    <s v="SKU12639"/>
    <x v="3"/>
    <s v="M"/>
    <n v="5"/>
    <s v="INR"/>
    <n v="3583.13"/>
    <s v="Lucknow"/>
    <x v="4"/>
    <n v="226001"/>
    <s v="India"/>
    <s v="Yes"/>
  </r>
  <r>
    <n v="709"/>
    <s v="ORD202500709"/>
    <s v="CUST7023"/>
    <x v="1"/>
    <n v="37"/>
    <x v="2"/>
    <s v="2025-02-03"/>
    <x v="8"/>
    <x v="2"/>
    <x v="2"/>
    <s v="SKU50922"/>
    <x v="3"/>
    <s v="M"/>
    <n v="1"/>
    <s v="INR"/>
    <n v="3910.69"/>
    <s v="Jaipur"/>
    <x v="2"/>
    <n v="302001"/>
    <s v="India"/>
    <s v="No"/>
  </r>
  <r>
    <n v="710"/>
    <s v="ORD202500710"/>
    <s v="CUST1574"/>
    <x v="1"/>
    <n v="55"/>
    <x v="0"/>
    <s v="2025-12-20"/>
    <x v="1"/>
    <x v="2"/>
    <x v="2"/>
    <s v="SKU22768"/>
    <x v="2"/>
    <s v="S"/>
    <n v="4"/>
    <s v="INR"/>
    <n v="2389.23"/>
    <s v="Lucknow"/>
    <x v="4"/>
    <n v="226001"/>
    <s v="India"/>
    <s v="No"/>
  </r>
  <r>
    <n v="711"/>
    <s v="ORD202500711"/>
    <s v="CUST2129"/>
    <x v="1"/>
    <n v="21"/>
    <x v="1"/>
    <s v="2025-02-03"/>
    <x v="8"/>
    <x v="2"/>
    <x v="2"/>
    <s v="SKU46864"/>
    <x v="2"/>
    <s v="M"/>
    <n v="1"/>
    <s v="INR"/>
    <n v="3228.49"/>
    <s v="Jaipur"/>
    <x v="2"/>
    <n v="302001"/>
    <s v="India"/>
    <s v="No"/>
  </r>
  <r>
    <n v="712"/>
    <s v="ORD202500712"/>
    <s v="CUST7248"/>
    <x v="0"/>
    <n v="34"/>
    <x v="2"/>
    <s v="2025-03-11"/>
    <x v="0"/>
    <x v="2"/>
    <x v="2"/>
    <s v="SKU12464"/>
    <x v="4"/>
    <s v="L"/>
    <n v="2"/>
    <s v="INR"/>
    <n v="3145.7"/>
    <s v="Bengaluru"/>
    <x v="1"/>
    <n v="560001"/>
    <s v="India"/>
    <s v="No"/>
  </r>
  <r>
    <n v="713"/>
    <s v="ORD202500713"/>
    <s v="CUST4364"/>
    <x v="1"/>
    <n v="28"/>
    <x v="1"/>
    <s v="2025-10-02"/>
    <x v="4"/>
    <x v="2"/>
    <x v="2"/>
    <s v="SKU21761"/>
    <x v="0"/>
    <s v="XL"/>
    <n v="1"/>
    <s v="INR"/>
    <n v="1156.69"/>
    <s v="Delhi"/>
    <x v="3"/>
    <n v="110001"/>
    <s v="India"/>
    <s v="No"/>
  </r>
  <r>
    <n v="714"/>
    <s v="ORD202500714"/>
    <s v="CUST8910"/>
    <x v="0"/>
    <n v="56"/>
    <x v="0"/>
    <s v="2025-09-28"/>
    <x v="7"/>
    <x v="2"/>
    <x v="2"/>
    <s v="SKU10724"/>
    <x v="0"/>
    <s v="XL"/>
    <n v="3"/>
    <s v="INR"/>
    <n v="4856.7299999999996"/>
    <s v="Lucknow"/>
    <x v="4"/>
    <n v="226001"/>
    <s v="India"/>
    <s v="Yes"/>
  </r>
  <r>
    <n v="715"/>
    <s v="ORD202500715"/>
    <s v="CUST5911"/>
    <x v="1"/>
    <n v="23"/>
    <x v="1"/>
    <s v="2025-05-06"/>
    <x v="2"/>
    <x v="2"/>
    <x v="2"/>
    <s v="SKU80336"/>
    <x v="4"/>
    <s v="S"/>
    <n v="4"/>
    <s v="INR"/>
    <n v="1091.55"/>
    <s v="Jaipur"/>
    <x v="2"/>
    <n v="302001"/>
    <s v="India"/>
    <s v="Yes"/>
  </r>
  <r>
    <n v="716"/>
    <s v="ORD202500716"/>
    <s v="CUST8316"/>
    <x v="0"/>
    <n v="54"/>
    <x v="0"/>
    <s v="2025-09-03"/>
    <x v="7"/>
    <x v="2"/>
    <x v="2"/>
    <s v="SKU41190"/>
    <x v="5"/>
    <s v="M"/>
    <n v="4"/>
    <s v="INR"/>
    <n v="308.18"/>
    <s v="Delhi"/>
    <x v="3"/>
    <n v="110001"/>
    <s v="India"/>
    <s v="No"/>
  </r>
  <r>
    <n v="717"/>
    <s v="ORD202500717"/>
    <s v="CUST4827"/>
    <x v="1"/>
    <n v="47"/>
    <x v="2"/>
    <s v="2025-12-29"/>
    <x v="1"/>
    <x v="2"/>
    <x v="2"/>
    <s v="SKU79981"/>
    <x v="1"/>
    <s v="S"/>
    <n v="1"/>
    <s v="INR"/>
    <n v="2524.67"/>
    <s v="Lucknow"/>
    <x v="4"/>
    <n v="226001"/>
    <s v="India"/>
    <s v="Yes"/>
  </r>
  <r>
    <n v="718"/>
    <s v="ORD202500718"/>
    <s v="CUST3761"/>
    <x v="0"/>
    <n v="27"/>
    <x v="1"/>
    <s v="2025-01-30"/>
    <x v="10"/>
    <x v="2"/>
    <x v="2"/>
    <s v="SKU74048"/>
    <x v="2"/>
    <s v="M"/>
    <n v="3"/>
    <s v="INR"/>
    <n v="2717.5"/>
    <s v="Delhi"/>
    <x v="3"/>
    <n v="110001"/>
    <s v="India"/>
    <s v="Yes"/>
  </r>
  <r>
    <n v="719"/>
    <s v="ORD202500719"/>
    <s v="CUST6941"/>
    <x v="0"/>
    <n v="60"/>
    <x v="0"/>
    <s v="2025-02-10"/>
    <x v="8"/>
    <x v="2"/>
    <x v="2"/>
    <s v="SKU61324"/>
    <x v="1"/>
    <s v="XL"/>
    <n v="1"/>
    <s v="INR"/>
    <n v="1337.78"/>
    <s v="Mumbai"/>
    <x v="0"/>
    <n v="400001"/>
    <s v="India"/>
    <s v="Yes"/>
  </r>
  <r>
    <n v="720"/>
    <s v="ORD202500720"/>
    <s v="CUST1221"/>
    <x v="1"/>
    <n v="30"/>
    <x v="2"/>
    <s v="2025-07-26"/>
    <x v="9"/>
    <x v="2"/>
    <x v="2"/>
    <s v="SKU22821"/>
    <x v="2"/>
    <s v="L"/>
    <n v="4"/>
    <s v="INR"/>
    <n v="2450.44"/>
    <s v="Mumbai"/>
    <x v="0"/>
    <n v="400001"/>
    <s v="India"/>
    <s v="Yes"/>
  </r>
  <r>
    <n v="721"/>
    <s v="ORD202500721"/>
    <s v="CUST9736"/>
    <x v="1"/>
    <n v="59"/>
    <x v="0"/>
    <s v="2025-08-07"/>
    <x v="5"/>
    <x v="2"/>
    <x v="2"/>
    <s v="SKU38969"/>
    <x v="2"/>
    <s v="L"/>
    <n v="2"/>
    <s v="INR"/>
    <n v="3070.24"/>
    <s v="Jaipur"/>
    <x v="2"/>
    <n v="302001"/>
    <s v="India"/>
    <s v="Yes"/>
  </r>
  <r>
    <n v="722"/>
    <s v="ORD202500722"/>
    <s v="CUST4528"/>
    <x v="1"/>
    <n v="36"/>
    <x v="2"/>
    <s v="2025-12-14"/>
    <x v="1"/>
    <x v="2"/>
    <x v="2"/>
    <s v="SKU14204"/>
    <x v="3"/>
    <s v="XL"/>
    <n v="5"/>
    <s v="INR"/>
    <n v="750.64"/>
    <s v="Mumbai"/>
    <x v="0"/>
    <n v="400001"/>
    <s v="India"/>
    <s v="Yes"/>
  </r>
  <r>
    <n v="723"/>
    <s v="ORD202500723"/>
    <s v="CUST8244"/>
    <x v="0"/>
    <n v="50"/>
    <x v="0"/>
    <s v="2025-05-11"/>
    <x v="2"/>
    <x v="2"/>
    <x v="2"/>
    <s v="SKU14871"/>
    <x v="4"/>
    <s v="S"/>
    <n v="2"/>
    <s v="INR"/>
    <n v="3848.6"/>
    <s v="Mumbai"/>
    <x v="0"/>
    <n v="400001"/>
    <s v="India"/>
    <s v="No"/>
  </r>
  <r>
    <n v="724"/>
    <s v="ORD202500724"/>
    <s v="CUST5035"/>
    <x v="0"/>
    <n v="20"/>
    <x v="1"/>
    <s v="2025-09-26"/>
    <x v="7"/>
    <x v="2"/>
    <x v="2"/>
    <s v="SKU96358"/>
    <x v="5"/>
    <s v="M"/>
    <n v="2"/>
    <s v="INR"/>
    <n v="3195.31"/>
    <s v="Jaipur"/>
    <x v="2"/>
    <n v="302001"/>
    <s v="India"/>
    <s v="Yes"/>
  </r>
  <r>
    <n v="725"/>
    <s v="ORD202500725"/>
    <s v="CUST1872"/>
    <x v="1"/>
    <n v="37"/>
    <x v="2"/>
    <s v="2025-12-18"/>
    <x v="1"/>
    <x v="2"/>
    <x v="2"/>
    <s v="SKU67690"/>
    <x v="1"/>
    <s v="M"/>
    <n v="3"/>
    <s v="INR"/>
    <n v="1960.13"/>
    <s v="Lucknow"/>
    <x v="4"/>
    <n v="226001"/>
    <s v="India"/>
    <s v="Yes"/>
  </r>
  <r>
    <n v="726"/>
    <s v="ORD202500726"/>
    <s v="CUST7274"/>
    <x v="0"/>
    <n v="29"/>
    <x v="1"/>
    <s v="2025-08-16"/>
    <x v="5"/>
    <x v="2"/>
    <x v="2"/>
    <s v="SKU73695"/>
    <x v="5"/>
    <s v="S"/>
    <n v="3"/>
    <s v="INR"/>
    <n v="2709.22"/>
    <s v="Bengaluru"/>
    <x v="1"/>
    <n v="560001"/>
    <s v="India"/>
    <s v="No"/>
  </r>
  <r>
    <n v="727"/>
    <s v="ORD202500727"/>
    <s v="CUST7034"/>
    <x v="1"/>
    <n v="34"/>
    <x v="2"/>
    <s v="2025-01-31"/>
    <x v="10"/>
    <x v="2"/>
    <x v="2"/>
    <s v="SKU80301"/>
    <x v="4"/>
    <s v="S"/>
    <n v="3"/>
    <s v="INR"/>
    <n v="1485.79"/>
    <s v="Mumbai"/>
    <x v="0"/>
    <n v="400001"/>
    <s v="India"/>
    <s v="Yes"/>
  </r>
  <r>
    <n v="728"/>
    <s v="ORD202500728"/>
    <s v="CUST1603"/>
    <x v="1"/>
    <n v="18"/>
    <x v="1"/>
    <s v="2025-09-23"/>
    <x v="7"/>
    <x v="2"/>
    <x v="2"/>
    <s v="SKU67182"/>
    <x v="3"/>
    <s v="L"/>
    <n v="2"/>
    <s v="INR"/>
    <n v="4423.17"/>
    <s v="Mumbai"/>
    <x v="0"/>
    <n v="400001"/>
    <s v="India"/>
    <s v="Yes"/>
  </r>
  <r>
    <n v="729"/>
    <s v="ORD202500729"/>
    <s v="CUST8250"/>
    <x v="0"/>
    <n v="34"/>
    <x v="2"/>
    <s v="2025-03-07"/>
    <x v="0"/>
    <x v="2"/>
    <x v="2"/>
    <s v="SKU43311"/>
    <x v="4"/>
    <s v="XL"/>
    <n v="3"/>
    <s v="INR"/>
    <n v="2179.11"/>
    <s v="Bengaluru"/>
    <x v="1"/>
    <n v="560001"/>
    <s v="India"/>
    <s v="Yes"/>
  </r>
  <r>
    <n v="730"/>
    <s v="ORD202500730"/>
    <s v="CUST8518"/>
    <x v="1"/>
    <n v="46"/>
    <x v="2"/>
    <s v="2025-10-23"/>
    <x v="4"/>
    <x v="2"/>
    <x v="2"/>
    <s v="SKU69166"/>
    <x v="2"/>
    <s v="M"/>
    <n v="3"/>
    <s v="INR"/>
    <n v="1029.6500000000001"/>
    <s v="Bengaluru"/>
    <x v="1"/>
    <n v="560001"/>
    <s v="India"/>
    <s v="No"/>
  </r>
  <r>
    <n v="731"/>
    <s v="ORD202500731"/>
    <s v="CUST3314"/>
    <x v="0"/>
    <n v="39"/>
    <x v="2"/>
    <s v="2025-05-21"/>
    <x v="2"/>
    <x v="2"/>
    <x v="2"/>
    <s v="SKU64489"/>
    <x v="2"/>
    <s v="M"/>
    <n v="4"/>
    <s v="INR"/>
    <n v="3330.34"/>
    <s v="Lucknow"/>
    <x v="4"/>
    <n v="226001"/>
    <s v="India"/>
    <s v="No"/>
  </r>
  <r>
    <n v="732"/>
    <s v="ORD202500732"/>
    <s v="CUST9321"/>
    <x v="0"/>
    <n v="45"/>
    <x v="2"/>
    <s v="2025-02-03"/>
    <x v="8"/>
    <x v="2"/>
    <x v="2"/>
    <s v="SKU74822"/>
    <x v="3"/>
    <s v="L"/>
    <n v="3"/>
    <s v="INR"/>
    <n v="1003.27"/>
    <s v="Delhi"/>
    <x v="3"/>
    <n v="110001"/>
    <s v="India"/>
    <s v="No"/>
  </r>
  <r>
    <n v="733"/>
    <s v="ORD202500733"/>
    <s v="CUST8862"/>
    <x v="0"/>
    <n v="34"/>
    <x v="2"/>
    <s v="2025-11-15"/>
    <x v="6"/>
    <x v="2"/>
    <x v="2"/>
    <s v="SKU69735"/>
    <x v="4"/>
    <s v="L"/>
    <n v="1"/>
    <s v="INR"/>
    <n v="2822.47"/>
    <s v="Delhi"/>
    <x v="3"/>
    <n v="110001"/>
    <s v="India"/>
    <s v="Yes"/>
  </r>
  <r>
    <n v="734"/>
    <s v="ORD202500734"/>
    <s v="CUST6570"/>
    <x v="1"/>
    <n v="18"/>
    <x v="1"/>
    <s v="2025-08-31"/>
    <x v="5"/>
    <x v="2"/>
    <x v="2"/>
    <s v="SKU32655"/>
    <x v="2"/>
    <s v="XL"/>
    <n v="2"/>
    <s v="INR"/>
    <n v="4301.12"/>
    <s v="Jaipur"/>
    <x v="2"/>
    <n v="302001"/>
    <s v="India"/>
    <s v="No"/>
  </r>
  <r>
    <n v="735"/>
    <s v="ORD202500735"/>
    <s v="CUST2636"/>
    <x v="1"/>
    <n v="39"/>
    <x v="2"/>
    <s v="2025-04-13"/>
    <x v="11"/>
    <x v="2"/>
    <x v="2"/>
    <s v="SKU76924"/>
    <x v="4"/>
    <s v="S"/>
    <n v="2"/>
    <s v="INR"/>
    <n v="4901.0600000000004"/>
    <s v="Delhi"/>
    <x v="2"/>
    <n v="110001"/>
    <s v="India"/>
    <s v="No"/>
  </r>
  <r>
    <n v="736"/>
    <s v="ORD202500736"/>
    <s v="CUST2260"/>
    <x v="1"/>
    <n v="37"/>
    <x v="2"/>
    <s v="2025-10-26"/>
    <x v="4"/>
    <x v="2"/>
    <x v="2"/>
    <s v="SKU63795"/>
    <x v="3"/>
    <s v="S"/>
    <n v="5"/>
    <s v="INR"/>
    <n v="399.2"/>
    <s v="Jaipur"/>
    <x v="2"/>
    <n v="302001"/>
    <s v="India"/>
    <s v="No"/>
  </r>
  <r>
    <n v="737"/>
    <s v="ORD202500737"/>
    <s v="CUST4985"/>
    <x v="1"/>
    <n v="57"/>
    <x v="0"/>
    <s v="2025-07-13"/>
    <x v="9"/>
    <x v="2"/>
    <x v="2"/>
    <s v="SKU16229"/>
    <x v="3"/>
    <s v="S"/>
    <n v="5"/>
    <s v="INR"/>
    <n v="1917.23"/>
    <s v="Bengaluru"/>
    <x v="2"/>
    <n v="560001"/>
    <s v="India"/>
    <s v="No"/>
  </r>
  <r>
    <n v="738"/>
    <s v="ORD202500738"/>
    <s v="CUST7565"/>
    <x v="0"/>
    <n v="51"/>
    <x v="0"/>
    <s v="2025-04-27"/>
    <x v="11"/>
    <x v="2"/>
    <x v="2"/>
    <s v="SKU66254"/>
    <x v="3"/>
    <s v="XL"/>
    <n v="5"/>
    <s v="INR"/>
    <n v="2432.86"/>
    <s v="Bengaluru"/>
    <x v="2"/>
    <n v="560001"/>
    <s v="India"/>
    <s v="Yes"/>
  </r>
  <r>
    <n v="739"/>
    <s v="ORD202500739"/>
    <s v="CUST4690"/>
    <x v="0"/>
    <n v="20"/>
    <x v="1"/>
    <s v="2025-11-03"/>
    <x v="6"/>
    <x v="2"/>
    <x v="2"/>
    <s v="SKU20086"/>
    <x v="5"/>
    <s v="M"/>
    <n v="5"/>
    <s v="INR"/>
    <n v="4862.33"/>
    <s v="Bengaluru"/>
    <x v="2"/>
    <n v="560001"/>
    <s v="India"/>
    <s v="Yes"/>
  </r>
  <r>
    <n v="740"/>
    <s v="ORD202500740"/>
    <s v="CUST4306"/>
    <x v="0"/>
    <n v="40"/>
    <x v="2"/>
    <s v="2025-07-30"/>
    <x v="9"/>
    <x v="2"/>
    <x v="2"/>
    <s v="SKU60361"/>
    <x v="2"/>
    <s v="S"/>
    <n v="3"/>
    <s v="INR"/>
    <n v="2479.2800000000002"/>
    <s v="Mumbai"/>
    <x v="2"/>
    <n v="400001"/>
    <s v="India"/>
    <s v="Yes"/>
  </r>
  <r>
    <n v="741"/>
    <s v="ORD202500741"/>
    <s v="CUST5773"/>
    <x v="1"/>
    <n v="32"/>
    <x v="2"/>
    <s v="2025-10-24"/>
    <x v="4"/>
    <x v="2"/>
    <x v="2"/>
    <s v="SKU53964"/>
    <x v="1"/>
    <s v="L"/>
    <n v="2"/>
    <s v="INR"/>
    <n v="3052.16"/>
    <s v="Delhi"/>
    <x v="2"/>
    <n v="110001"/>
    <s v="India"/>
    <s v="Yes"/>
  </r>
  <r>
    <n v="742"/>
    <s v="ORD202500742"/>
    <s v="CUST9948"/>
    <x v="1"/>
    <n v="25"/>
    <x v="1"/>
    <s v="2025-02-03"/>
    <x v="8"/>
    <x v="2"/>
    <x v="2"/>
    <s v="SKU91043"/>
    <x v="1"/>
    <s v="L"/>
    <n v="4"/>
    <s v="INR"/>
    <n v="920.48"/>
    <s v="Bengaluru"/>
    <x v="2"/>
    <n v="560001"/>
    <s v="India"/>
    <s v="No"/>
  </r>
  <r>
    <n v="743"/>
    <s v="ORD202500743"/>
    <s v="CUST3972"/>
    <x v="1"/>
    <n v="60"/>
    <x v="0"/>
    <s v="2025-01-22"/>
    <x v="10"/>
    <x v="2"/>
    <x v="2"/>
    <s v="SKU89319"/>
    <x v="0"/>
    <s v="S"/>
    <n v="4"/>
    <s v="INR"/>
    <n v="3151.18"/>
    <s v="Bengaluru"/>
    <x v="2"/>
    <n v="560001"/>
    <s v="India"/>
    <s v="Yes"/>
  </r>
  <r>
    <n v="744"/>
    <s v="ORD202500744"/>
    <s v="CUST1104"/>
    <x v="0"/>
    <n v="46"/>
    <x v="2"/>
    <s v="2025-09-19"/>
    <x v="7"/>
    <x v="2"/>
    <x v="2"/>
    <s v="SKU67254"/>
    <x v="1"/>
    <s v="S"/>
    <n v="4"/>
    <s v="INR"/>
    <n v="3875.66"/>
    <s v="Mumbai"/>
    <x v="2"/>
    <n v="400001"/>
    <s v="India"/>
    <s v="No"/>
  </r>
  <r>
    <n v="745"/>
    <s v="ORD202500745"/>
    <s v="CUST6492"/>
    <x v="1"/>
    <n v="39"/>
    <x v="2"/>
    <s v="2025-06-28"/>
    <x v="3"/>
    <x v="2"/>
    <x v="2"/>
    <s v="SKU51593"/>
    <x v="4"/>
    <s v="M"/>
    <n v="4"/>
    <s v="INR"/>
    <n v="4786.8900000000003"/>
    <s v="Mumbai"/>
    <x v="2"/>
    <n v="400001"/>
    <s v="India"/>
    <s v="Yes"/>
  </r>
  <r>
    <n v="746"/>
    <s v="ORD202500746"/>
    <s v="CUST3401"/>
    <x v="0"/>
    <n v="56"/>
    <x v="0"/>
    <s v="2025-03-25"/>
    <x v="0"/>
    <x v="2"/>
    <x v="2"/>
    <s v="SKU84723"/>
    <x v="2"/>
    <s v="M"/>
    <n v="1"/>
    <s v="INR"/>
    <n v="3255.35"/>
    <s v="Jaipur"/>
    <x v="2"/>
    <n v="302001"/>
    <s v="India"/>
    <s v="Yes"/>
  </r>
  <r>
    <n v="747"/>
    <s v="ORD202500747"/>
    <s v="CUST7456"/>
    <x v="1"/>
    <n v="33"/>
    <x v="2"/>
    <s v="2025-12-04"/>
    <x v="1"/>
    <x v="2"/>
    <x v="2"/>
    <s v="SKU53249"/>
    <x v="4"/>
    <s v="M"/>
    <n v="2"/>
    <s v="INR"/>
    <n v="4660.84"/>
    <s v="Jaipur"/>
    <x v="2"/>
    <n v="302001"/>
    <s v="India"/>
    <s v="No"/>
  </r>
  <r>
    <n v="748"/>
    <s v="ORD202500748"/>
    <s v="CUST1635"/>
    <x v="1"/>
    <n v="51"/>
    <x v="0"/>
    <s v="2025-06-07"/>
    <x v="3"/>
    <x v="2"/>
    <x v="2"/>
    <s v="SKU72896"/>
    <x v="4"/>
    <s v="XL"/>
    <n v="2"/>
    <s v="INR"/>
    <n v="345.01"/>
    <s v="Lucknow"/>
    <x v="2"/>
    <n v="226001"/>
    <s v="India"/>
    <s v="No"/>
  </r>
  <r>
    <n v="749"/>
    <s v="ORD202500749"/>
    <s v="CUST6007"/>
    <x v="1"/>
    <n v="54"/>
    <x v="0"/>
    <s v="2025-08-25"/>
    <x v="5"/>
    <x v="2"/>
    <x v="2"/>
    <s v="SKU64491"/>
    <x v="3"/>
    <s v="XL"/>
    <n v="3"/>
    <s v="INR"/>
    <n v="3294.35"/>
    <s v="Lucknow"/>
    <x v="2"/>
    <n v="226001"/>
    <s v="India"/>
    <s v="No"/>
  </r>
  <r>
    <n v="750"/>
    <s v="ORD202500750"/>
    <s v="CUST2165"/>
    <x v="0"/>
    <n v="24"/>
    <x v="1"/>
    <s v="2025-07-25"/>
    <x v="9"/>
    <x v="2"/>
    <x v="2"/>
    <s v="SKU96593"/>
    <x v="3"/>
    <s v="M"/>
    <n v="1"/>
    <s v="INR"/>
    <n v="3016.67"/>
    <s v="Bengaluru"/>
    <x v="2"/>
    <n v="560001"/>
    <s v="India"/>
    <s v="No"/>
  </r>
  <r>
    <n v="751"/>
    <s v="ORD202500751"/>
    <s v="CUST6756"/>
    <x v="1"/>
    <n v="33"/>
    <x v="2"/>
    <s v="2025-11-25"/>
    <x v="6"/>
    <x v="2"/>
    <x v="1"/>
    <s v="SKU63461"/>
    <x v="0"/>
    <s v="XL"/>
    <n v="2"/>
    <s v="INR"/>
    <n v="3240.55"/>
    <s v="Delhi"/>
    <x v="2"/>
    <n v="110001"/>
    <s v="India"/>
    <s v="Yes"/>
  </r>
  <r>
    <n v="752"/>
    <s v="ORD202500752"/>
    <s v="CUST6340"/>
    <x v="1"/>
    <n v="43"/>
    <x v="2"/>
    <s v="2025-11-03"/>
    <x v="6"/>
    <x v="2"/>
    <x v="5"/>
    <s v="SKU53205"/>
    <x v="5"/>
    <s v="M"/>
    <n v="4"/>
    <s v="INR"/>
    <n v="1120.18"/>
    <s v="Jaipur"/>
    <x v="0"/>
    <n v="302001"/>
    <s v="India"/>
    <s v="Yes"/>
  </r>
  <r>
    <n v="753"/>
    <s v="ORD202500753"/>
    <s v="CUST4668"/>
    <x v="0"/>
    <n v="52"/>
    <x v="0"/>
    <s v="2025-11-02"/>
    <x v="6"/>
    <x v="2"/>
    <x v="4"/>
    <s v="SKU68966"/>
    <x v="3"/>
    <s v="S"/>
    <n v="5"/>
    <s v="INR"/>
    <n v="1994.8"/>
    <s v="Bengaluru"/>
    <x v="0"/>
    <n v="560001"/>
    <s v="India"/>
    <s v="Yes"/>
  </r>
  <r>
    <n v="754"/>
    <s v="ORD202500754"/>
    <s v="CUST5994"/>
    <x v="0"/>
    <n v="32"/>
    <x v="2"/>
    <s v="2025-01-28"/>
    <x v="10"/>
    <x v="2"/>
    <x v="5"/>
    <s v="SKU18130"/>
    <x v="0"/>
    <s v="XL"/>
    <n v="3"/>
    <s v="INR"/>
    <n v="3007.68"/>
    <s v="Lucknow"/>
    <x v="0"/>
    <n v="226001"/>
    <s v="India"/>
    <s v="Yes"/>
  </r>
  <r>
    <n v="755"/>
    <s v="ORD202500755"/>
    <s v="CUST1868"/>
    <x v="0"/>
    <n v="26"/>
    <x v="1"/>
    <s v="2025-02-01"/>
    <x v="8"/>
    <x v="2"/>
    <x v="3"/>
    <s v="SKU50769"/>
    <x v="4"/>
    <s v="XL"/>
    <n v="4"/>
    <s v="INR"/>
    <n v="2400.4"/>
    <s v="Mumbai"/>
    <x v="0"/>
    <n v="400001"/>
    <s v="India"/>
    <s v="No"/>
  </r>
  <r>
    <n v="756"/>
    <s v="ORD202500756"/>
    <s v="CUST1693"/>
    <x v="1"/>
    <n v="22"/>
    <x v="1"/>
    <s v="2025-03-17"/>
    <x v="0"/>
    <x v="2"/>
    <x v="1"/>
    <s v="SKU58427"/>
    <x v="0"/>
    <s v="L"/>
    <n v="1"/>
    <s v="INR"/>
    <n v="3285.77"/>
    <s v="Mumbai"/>
    <x v="0"/>
    <n v="400001"/>
    <s v="India"/>
    <s v="No"/>
  </r>
  <r>
    <n v="757"/>
    <s v="ORD202500757"/>
    <s v="CUST8171"/>
    <x v="1"/>
    <n v="36"/>
    <x v="2"/>
    <s v="2025-09-18"/>
    <x v="7"/>
    <x v="2"/>
    <x v="1"/>
    <s v="SKU55351"/>
    <x v="4"/>
    <s v="L"/>
    <n v="1"/>
    <s v="INR"/>
    <n v="1672.18"/>
    <s v="Jaipur"/>
    <x v="0"/>
    <n v="302001"/>
    <s v="India"/>
    <s v="Yes"/>
  </r>
  <r>
    <n v="758"/>
    <s v="ORD202500758"/>
    <s v="CUST7944"/>
    <x v="1"/>
    <n v="18"/>
    <x v="1"/>
    <s v="2025-12-06"/>
    <x v="1"/>
    <x v="2"/>
    <x v="3"/>
    <s v="SKU14377"/>
    <x v="3"/>
    <s v="M"/>
    <n v="5"/>
    <s v="INR"/>
    <n v="2328.6999999999998"/>
    <s v="Lucknow"/>
    <x v="0"/>
    <n v="226001"/>
    <s v="India"/>
    <s v="No"/>
  </r>
  <r>
    <n v="759"/>
    <s v="ORD202500759"/>
    <s v="CUST7876"/>
    <x v="1"/>
    <n v="46"/>
    <x v="2"/>
    <s v="2025-08-01"/>
    <x v="5"/>
    <x v="2"/>
    <x v="3"/>
    <s v="SKU96844"/>
    <x v="1"/>
    <s v="M"/>
    <n v="3"/>
    <s v="INR"/>
    <n v="4104.03"/>
    <s v="Lucknow"/>
    <x v="0"/>
    <n v="226001"/>
    <s v="India"/>
    <s v="No"/>
  </r>
  <r>
    <n v="760"/>
    <s v="ORD202500760"/>
    <s v="CUST2667"/>
    <x v="0"/>
    <n v="23"/>
    <x v="1"/>
    <s v="2025-08-15"/>
    <x v="5"/>
    <x v="2"/>
    <x v="3"/>
    <s v="SKU41945"/>
    <x v="3"/>
    <s v="XL"/>
    <n v="4"/>
    <s v="INR"/>
    <n v="4335.63"/>
    <s v="Jaipur"/>
    <x v="0"/>
    <n v="302001"/>
    <s v="India"/>
    <s v="Yes"/>
  </r>
  <r>
    <n v="761"/>
    <s v="ORD202500761"/>
    <s v="CUST7278"/>
    <x v="1"/>
    <n v="58"/>
    <x v="0"/>
    <s v="2025-07-05"/>
    <x v="9"/>
    <x v="2"/>
    <x v="3"/>
    <s v="SKU61575"/>
    <x v="1"/>
    <s v="M"/>
    <n v="3"/>
    <s v="INR"/>
    <n v="3133.36"/>
    <s v="Mumbai"/>
    <x v="0"/>
    <n v="400001"/>
    <s v="India"/>
    <s v="Yes"/>
  </r>
  <r>
    <n v="762"/>
    <s v="ORD202500762"/>
    <s v="CUST2148"/>
    <x v="1"/>
    <n v="59"/>
    <x v="0"/>
    <s v="2025-02-22"/>
    <x v="8"/>
    <x v="2"/>
    <x v="3"/>
    <s v="SKU99489"/>
    <x v="3"/>
    <s v="L"/>
    <n v="1"/>
    <s v="INR"/>
    <n v="335.06"/>
    <s v="Mumbai"/>
    <x v="0"/>
    <n v="400001"/>
    <s v="India"/>
    <s v="No"/>
  </r>
  <r>
    <n v="763"/>
    <s v="ORD202500763"/>
    <s v="CUST3451"/>
    <x v="1"/>
    <n v="34"/>
    <x v="2"/>
    <s v="2025-11-25"/>
    <x v="6"/>
    <x v="2"/>
    <x v="3"/>
    <s v="SKU98923"/>
    <x v="5"/>
    <s v="M"/>
    <n v="1"/>
    <s v="INR"/>
    <n v="2182.4299999999998"/>
    <s v="Jaipur"/>
    <x v="0"/>
    <n v="302001"/>
    <s v="India"/>
    <s v="Yes"/>
  </r>
  <r>
    <n v="764"/>
    <s v="ORD202500764"/>
    <s v="CUST9517"/>
    <x v="0"/>
    <n v="28"/>
    <x v="1"/>
    <s v="2025-11-11"/>
    <x v="6"/>
    <x v="2"/>
    <x v="3"/>
    <s v="SKU89474"/>
    <x v="5"/>
    <s v="XL"/>
    <n v="5"/>
    <s v="INR"/>
    <n v="2514.3000000000002"/>
    <s v="Jaipur"/>
    <x v="0"/>
    <n v="302001"/>
    <s v="India"/>
    <s v="Yes"/>
  </r>
  <r>
    <n v="765"/>
    <s v="ORD202500765"/>
    <s v="CUST3464"/>
    <x v="1"/>
    <n v="41"/>
    <x v="2"/>
    <s v="2025-08-18"/>
    <x v="5"/>
    <x v="2"/>
    <x v="3"/>
    <s v="SKU78112"/>
    <x v="4"/>
    <s v="XL"/>
    <n v="1"/>
    <s v="INR"/>
    <n v="3713.41"/>
    <s v="Mumbai"/>
    <x v="0"/>
    <n v="400001"/>
    <s v="India"/>
    <s v="No"/>
  </r>
  <r>
    <n v="766"/>
    <s v="ORD202500766"/>
    <s v="CUST1976"/>
    <x v="0"/>
    <n v="39"/>
    <x v="2"/>
    <s v="2025-01-15"/>
    <x v="10"/>
    <x v="2"/>
    <x v="3"/>
    <s v="SKU25860"/>
    <x v="4"/>
    <s v="S"/>
    <n v="2"/>
    <s v="INR"/>
    <n v="1169.0999999999999"/>
    <s v="Mumbai"/>
    <x v="0"/>
    <n v="400001"/>
    <s v="India"/>
    <s v="No"/>
  </r>
  <r>
    <n v="767"/>
    <s v="ORD202500767"/>
    <s v="CUST1444"/>
    <x v="1"/>
    <n v="24"/>
    <x v="1"/>
    <s v="2025-07-07"/>
    <x v="9"/>
    <x v="2"/>
    <x v="3"/>
    <s v="SKU88950"/>
    <x v="2"/>
    <s v="L"/>
    <n v="1"/>
    <s v="INR"/>
    <n v="934.72"/>
    <s v="Lucknow"/>
    <x v="0"/>
    <n v="226001"/>
    <s v="India"/>
    <s v="No"/>
  </r>
  <r>
    <n v="768"/>
    <s v="ORD202500768"/>
    <s v="CUST5123"/>
    <x v="1"/>
    <n v="23"/>
    <x v="1"/>
    <s v="2025-05-10"/>
    <x v="2"/>
    <x v="2"/>
    <x v="3"/>
    <s v="SKU47022"/>
    <x v="1"/>
    <s v="S"/>
    <n v="1"/>
    <s v="INR"/>
    <n v="3067.18"/>
    <s v="Delhi"/>
    <x v="3"/>
    <n v="110001"/>
    <s v="India"/>
    <s v="No"/>
  </r>
  <r>
    <n v="769"/>
    <s v="ORD202500769"/>
    <s v="CUST8577"/>
    <x v="0"/>
    <n v="54"/>
    <x v="0"/>
    <s v="2025-07-18"/>
    <x v="9"/>
    <x v="0"/>
    <x v="3"/>
    <s v="SKU56695"/>
    <x v="3"/>
    <s v="XL"/>
    <n v="5"/>
    <s v="INR"/>
    <n v="4086.74"/>
    <s v="Lucknow"/>
    <x v="4"/>
    <n v="226001"/>
    <s v="India"/>
    <s v="No"/>
  </r>
  <r>
    <n v="770"/>
    <s v="ORD202500770"/>
    <s v="CUST7193"/>
    <x v="1"/>
    <n v="41"/>
    <x v="2"/>
    <s v="2025-10-06"/>
    <x v="4"/>
    <x v="2"/>
    <x v="3"/>
    <s v="SKU61205"/>
    <x v="4"/>
    <s v="S"/>
    <n v="2"/>
    <s v="INR"/>
    <n v="2505.2399999999998"/>
    <s v="Lucknow"/>
    <x v="4"/>
    <n v="226001"/>
    <s v="India"/>
    <s v="Yes"/>
  </r>
  <r>
    <n v="771"/>
    <s v="ORD202500771"/>
    <s v="CUST1004"/>
    <x v="0"/>
    <n v="29"/>
    <x v="1"/>
    <s v="2025-02-06"/>
    <x v="8"/>
    <x v="3"/>
    <x v="3"/>
    <s v="SKU43013"/>
    <x v="4"/>
    <s v="L"/>
    <n v="1"/>
    <s v="INR"/>
    <n v="1227.22"/>
    <s v="Bengaluru"/>
    <x v="1"/>
    <n v="560001"/>
    <s v="India"/>
    <s v="Yes"/>
  </r>
  <r>
    <n v="772"/>
    <s v="ORD202500772"/>
    <s v="CUST9431"/>
    <x v="0"/>
    <n v="35"/>
    <x v="2"/>
    <s v="2025-01-25"/>
    <x v="10"/>
    <x v="3"/>
    <x v="3"/>
    <s v="SKU81792"/>
    <x v="1"/>
    <s v="XL"/>
    <n v="2"/>
    <s v="INR"/>
    <n v="3601.31"/>
    <s v="Jaipur"/>
    <x v="2"/>
    <n v="302001"/>
    <s v="India"/>
    <s v="No"/>
  </r>
  <r>
    <n v="773"/>
    <s v="ORD202500773"/>
    <s v="CUST3105"/>
    <x v="0"/>
    <n v="57"/>
    <x v="0"/>
    <s v="2025-12-06"/>
    <x v="1"/>
    <x v="0"/>
    <x v="3"/>
    <s v="SKU91811"/>
    <x v="5"/>
    <s v="L"/>
    <n v="5"/>
    <s v="INR"/>
    <n v="718.31"/>
    <s v="Lucknow"/>
    <x v="4"/>
    <n v="226001"/>
    <s v="India"/>
    <s v="No"/>
  </r>
  <r>
    <n v="774"/>
    <s v="ORD202500774"/>
    <s v="CUST8541"/>
    <x v="1"/>
    <n v="45"/>
    <x v="2"/>
    <s v="2025-01-13"/>
    <x v="10"/>
    <x v="3"/>
    <x v="3"/>
    <s v="SKU28666"/>
    <x v="3"/>
    <s v="M"/>
    <n v="1"/>
    <s v="INR"/>
    <n v="404.65"/>
    <s v="Delhi"/>
    <x v="3"/>
    <n v="110001"/>
    <s v="India"/>
    <s v="No"/>
  </r>
  <r>
    <n v="775"/>
    <s v="ORD202500775"/>
    <s v="CUST8431"/>
    <x v="1"/>
    <n v="38"/>
    <x v="2"/>
    <s v="2025-09-11"/>
    <x v="7"/>
    <x v="1"/>
    <x v="3"/>
    <s v="SKU47695"/>
    <x v="1"/>
    <s v="M"/>
    <n v="3"/>
    <s v="INR"/>
    <n v="4765.82"/>
    <s v="Delhi"/>
    <x v="3"/>
    <n v="110001"/>
    <s v="India"/>
    <s v="Yes"/>
  </r>
  <r>
    <n v="776"/>
    <s v="ORD202500776"/>
    <s v="CUST5328"/>
    <x v="0"/>
    <n v="22"/>
    <x v="1"/>
    <s v="2025-01-15"/>
    <x v="10"/>
    <x v="1"/>
    <x v="3"/>
    <s v="SKU26771"/>
    <x v="3"/>
    <s v="S"/>
    <n v="2"/>
    <s v="INR"/>
    <n v="3689.26"/>
    <s v="Lucknow"/>
    <x v="4"/>
    <n v="226001"/>
    <s v="India"/>
    <s v="Yes"/>
  </r>
  <r>
    <n v="777"/>
    <s v="ORD202500777"/>
    <s v="CUST6026"/>
    <x v="0"/>
    <n v="37"/>
    <x v="2"/>
    <s v="2025-03-29"/>
    <x v="0"/>
    <x v="1"/>
    <x v="3"/>
    <s v="SKU55064"/>
    <x v="1"/>
    <s v="M"/>
    <n v="2"/>
    <s v="INR"/>
    <n v="1132.93"/>
    <s v="Mumbai"/>
    <x v="0"/>
    <n v="400001"/>
    <s v="India"/>
    <s v="Yes"/>
  </r>
  <r>
    <n v="778"/>
    <s v="ORD202500778"/>
    <s v="CUST3520"/>
    <x v="0"/>
    <n v="29"/>
    <x v="1"/>
    <s v="2025-06-17"/>
    <x v="3"/>
    <x v="2"/>
    <x v="3"/>
    <s v="SKU54856"/>
    <x v="0"/>
    <s v="S"/>
    <n v="5"/>
    <s v="INR"/>
    <n v="1723.37"/>
    <s v="Lucknow"/>
    <x v="4"/>
    <n v="226001"/>
    <s v="India"/>
    <s v="Yes"/>
  </r>
  <r>
    <n v="779"/>
    <s v="ORD202500779"/>
    <s v="CUST9509"/>
    <x v="0"/>
    <n v="37"/>
    <x v="2"/>
    <s v="2025-06-29"/>
    <x v="3"/>
    <x v="0"/>
    <x v="3"/>
    <s v="SKU10630"/>
    <x v="0"/>
    <s v="L"/>
    <n v="4"/>
    <s v="INR"/>
    <n v="4495.49"/>
    <s v="Jaipur"/>
    <x v="2"/>
    <n v="302001"/>
    <s v="India"/>
    <s v="Yes"/>
  </r>
  <r>
    <n v="780"/>
    <s v="ORD202500780"/>
    <s v="CUST3976"/>
    <x v="1"/>
    <n v="33"/>
    <x v="2"/>
    <s v="2025-06-16"/>
    <x v="3"/>
    <x v="3"/>
    <x v="3"/>
    <s v="SKU63717"/>
    <x v="5"/>
    <s v="XL"/>
    <n v="5"/>
    <s v="INR"/>
    <n v="3443.43"/>
    <s v="Mumbai"/>
    <x v="0"/>
    <n v="400001"/>
    <s v="India"/>
    <s v="Yes"/>
  </r>
  <r>
    <n v="781"/>
    <s v="ORD202500781"/>
    <s v="CUST9542"/>
    <x v="1"/>
    <n v="25"/>
    <x v="1"/>
    <s v="2025-11-24"/>
    <x v="6"/>
    <x v="2"/>
    <x v="3"/>
    <s v="SKU26222"/>
    <x v="1"/>
    <s v="XL"/>
    <n v="1"/>
    <s v="INR"/>
    <n v="1607.88"/>
    <s v="Mumbai"/>
    <x v="0"/>
    <n v="400001"/>
    <s v="India"/>
    <s v="Yes"/>
  </r>
  <r>
    <n v="782"/>
    <s v="ORD202500782"/>
    <s v="CUST5479"/>
    <x v="1"/>
    <n v="58"/>
    <x v="0"/>
    <s v="2025-10-24"/>
    <x v="4"/>
    <x v="3"/>
    <x v="3"/>
    <s v="SKU63370"/>
    <x v="4"/>
    <s v="M"/>
    <n v="2"/>
    <s v="INR"/>
    <n v="2135.9499999999998"/>
    <s v="Mumbai"/>
    <x v="0"/>
    <n v="400001"/>
    <s v="India"/>
    <s v="No"/>
  </r>
  <r>
    <n v="783"/>
    <s v="ORD202500783"/>
    <s v="CUST6550"/>
    <x v="1"/>
    <n v="18"/>
    <x v="1"/>
    <s v="2025-12-18"/>
    <x v="1"/>
    <x v="0"/>
    <x v="3"/>
    <s v="SKU68629"/>
    <x v="3"/>
    <s v="L"/>
    <n v="4"/>
    <s v="INR"/>
    <n v="4717.6400000000003"/>
    <s v="Bengaluru"/>
    <x v="1"/>
    <n v="560001"/>
    <s v="India"/>
    <s v="Yes"/>
  </r>
  <r>
    <n v="784"/>
    <s v="ORD202500784"/>
    <s v="CUST7474"/>
    <x v="0"/>
    <n v="38"/>
    <x v="2"/>
    <s v="2025-03-31"/>
    <x v="0"/>
    <x v="2"/>
    <x v="3"/>
    <s v="SKU72276"/>
    <x v="3"/>
    <s v="M"/>
    <n v="1"/>
    <s v="INR"/>
    <n v="1818.76"/>
    <s v="Bengaluru"/>
    <x v="1"/>
    <n v="560001"/>
    <s v="India"/>
    <s v="Yes"/>
  </r>
  <r>
    <n v="785"/>
    <s v="ORD202500785"/>
    <s v="CUST3205"/>
    <x v="0"/>
    <n v="28"/>
    <x v="1"/>
    <s v="2025-04-21"/>
    <x v="11"/>
    <x v="1"/>
    <x v="3"/>
    <s v="SKU49960"/>
    <x v="2"/>
    <s v="XL"/>
    <n v="2"/>
    <s v="INR"/>
    <n v="2019.14"/>
    <s v="Jaipur"/>
    <x v="2"/>
    <n v="302001"/>
    <s v="India"/>
    <s v="Yes"/>
  </r>
  <r>
    <n v="786"/>
    <s v="ORD202500786"/>
    <s v="CUST4299"/>
    <x v="0"/>
    <n v="19"/>
    <x v="1"/>
    <s v="2025-06-05"/>
    <x v="3"/>
    <x v="0"/>
    <x v="3"/>
    <s v="SKU29259"/>
    <x v="5"/>
    <s v="L"/>
    <n v="1"/>
    <s v="INR"/>
    <n v="2372.19"/>
    <s v="Bengaluru"/>
    <x v="1"/>
    <n v="560001"/>
    <s v="India"/>
    <s v="Yes"/>
  </r>
  <r>
    <n v="787"/>
    <s v="ORD202500787"/>
    <s v="CUST8082"/>
    <x v="0"/>
    <n v="39"/>
    <x v="2"/>
    <s v="2025-12-11"/>
    <x v="1"/>
    <x v="1"/>
    <x v="3"/>
    <s v="SKU53442"/>
    <x v="2"/>
    <s v="XL"/>
    <n v="4"/>
    <s v="INR"/>
    <n v="3722.53"/>
    <s v="Delhi"/>
    <x v="3"/>
    <n v="110001"/>
    <s v="India"/>
    <s v="No"/>
  </r>
  <r>
    <n v="788"/>
    <s v="ORD202500788"/>
    <s v="CUST8092"/>
    <x v="0"/>
    <n v="56"/>
    <x v="0"/>
    <s v="2025-02-18"/>
    <x v="8"/>
    <x v="0"/>
    <x v="3"/>
    <s v="SKU61073"/>
    <x v="3"/>
    <s v="M"/>
    <n v="5"/>
    <s v="INR"/>
    <n v="4373.63"/>
    <s v="Mumbai"/>
    <x v="0"/>
    <n v="400001"/>
    <s v="India"/>
    <s v="Yes"/>
  </r>
  <r>
    <n v="789"/>
    <s v="ORD202500789"/>
    <s v="CUST5282"/>
    <x v="0"/>
    <n v="33"/>
    <x v="2"/>
    <s v="2025-09-19"/>
    <x v="7"/>
    <x v="0"/>
    <x v="3"/>
    <s v="SKU82064"/>
    <x v="3"/>
    <s v="S"/>
    <n v="2"/>
    <s v="INR"/>
    <n v="3040.92"/>
    <s v="Jaipur"/>
    <x v="2"/>
    <n v="302001"/>
    <s v="India"/>
    <s v="No"/>
  </r>
  <r>
    <n v="790"/>
    <s v="ORD202500790"/>
    <s v="CUST6314"/>
    <x v="1"/>
    <n v="23"/>
    <x v="1"/>
    <s v="2025-03-22"/>
    <x v="0"/>
    <x v="1"/>
    <x v="3"/>
    <s v="SKU99168"/>
    <x v="1"/>
    <s v="M"/>
    <n v="4"/>
    <s v="INR"/>
    <n v="554.45000000000005"/>
    <s v="Jaipur"/>
    <x v="2"/>
    <n v="302001"/>
    <s v="India"/>
    <s v="Yes"/>
  </r>
  <r>
    <n v="791"/>
    <s v="ORD202500791"/>
    <s v="CUST5091"/>
    <x v="1"/>
    <n v="19"/>
    <x v="1"/>
    <s v="2025-08-27"/>
    <x v="5"/>
    <x v="3"/>
    <x v="3"/>
    <s v="SKU50021"/>
    <x v="3"/>
    <s v="L"/>
    <n v="5"/>
    <s v="INR"/>
    <n v="332.81"/>
    <s v="Bengaluru"/>
    <x v="1"/>
    <n v="560001"/>
    <s v="India"/>
    <s v="Yes"/>
  </r>
  <r>
    <n v="792"/>
    <s v="ORD202500792"/>
    <s v="CUST5009"/>
    <x v="1"/>
    <n v="41"/>
    <x v="2"/>
    <s v="2025-04-27"/>
    <x v="11"/>
    <x v="0"/>
    <x v="3"/>
    <s v="SKU67584"/>
    <x v="0"/>
    <s v="L"/>
    <n v="4"/>
    <s v="INR"/>
    <n v="2520.61"/>
    <s v="Lucknow"/>
    <x v="4"/>
    <n v="226001"/>
    <s v="India"/>
    <s v="Yes"/>
  </r>
  <r>
    <n v="793"/>
    <s v="ORD202500793"/>
    <s v="CUST5181"/>
    <x v="1"/>
    <n v="57"/>
    <x v="0"/>
    <s v="2025-06-19"/>
    <x v="3"/>
    <x v="2"/>
    <x v="3"/>
    <s v="SKU68768"/>
    <x v="4"/>
    <s v="XL"/>
    <n v="3"/>
    <s v="INR"/>
    <n v="2471.6999999999998"/>
    <s v="Mumbai"/>
    <x v="0"/>
    <n v="400001"/>
    <s v="India"/>
    <s v="No"/>
  </r>
  <r>
    <n v="794"/>
    <s v="ORD202500794"/>
    <s v="CUST9312"/>
    <x v="0"/>
    <n v="34"/>
    <x v="2"/>
    <s v="2025-04-21"/>
    <x v="11"/>
    <x v="2"/>
    <x v="3"/>
    <s v="SKU45641"/>
    <x v="1"/>
    <s v="M"/>
    <n v="5"/>
    <s v="INR"/>
    <n v="4514.18"/>
    <s v="Bengaluru"/>
    <x v="1"/>
    <n v="560001"/>
    <s v="India"/>
    <s v="Yes"/>
  </r>
  <r>
    <n v="795"/>
    <s v="ORD202500795"/>
    <s v="CUST8071"/>
    <x v="0"/>
    <n v="20"/>
    <x v="1"/>
    <s v="2025-11-01"/>
    <x v="6"/>
    <x v="2"/>
    <x v="3"/>
    <s v="SKU48840"/>
    <x v="4"/>
    <s v="XL"/>
    <n v="4"/>
    <s v="INR"/>
    <n v="4068.38"/>
    <s v="Lucknow"/>
    <x v="1"/>
    <n v="226001"/>
    <s v="India"/>
    <s v="No"/>
  </r>
  <r>
    <n v="796"/>
    <s v="ORD202500796"/>
    <s v="CUST1258"/>
    <x v="0"/>
    <n v="36"/>
    <x v="2"/>
    <s v="2025-07-01"/>
    <x v="9"/>
    <x v="2"/>
    <x v="3"/>
    <s v="SKU60332"/>
    <x v="3"/>
    <s v="S"/>
    <n v="3"/>
    <s v="INR"/>
    <n v="682.1"/>
    <s v="Lucknow"/>
    <x v="1"/>
    <n v="226001"/>
    <s v="India"/>
    <s v="Yes"/>
  </r>
  <r>
    <n v="797"/>
    <s v="ORD202500797"/>
    <s v="CUST9436"/>
    <x v="0"/>
    <n v="29"/>
    <x v="1"/>
    <s v="2025-06-23"/>
    <x v="3"/>
    <x v="2"/>
    <x v="3"/>
    <s v="SKU26826"/>
    <x v="4"/>
    <s v="L"/>
    <n v="5"/>
    <s v="INR"/>
    <n v="1986.98"/>
    <s v="Mumbai"/>
    <x v="1"/>
    <n v="400001"/>
    <s v="India"/>
    <s v="Yes"/>
  </r>
  <r>
    <n v="798"/>
    <s v="ORD202500798"/>
    <s v="CUST8815"/>
    <x v="1"/>
    <n v="20"/>
    <x v="1"/>
    <s v="2025-02-01"/>
    <x v="8"/>
    <x v="2"/>
    <x v="3"/>
    <s v="SKU78213"/>
    <x v="1"/>
    <s v="S"/>
    <n v="4"/>
    <s v="INR"/>
    <n v="2128.7199999999998"/>
    <s v="Mumbai"/>
    <x v="1"/>
    <n v="400001"/>
    <s v="India"/>
    <s v="Yes"/>
  </r>
  <r>
    <n v="799"/>
    <s v="ORD202500799"/>
    <s v="CUST6833"/>
    <x v="1"/>
    <n v="53"/>
    <x v="0"/>
    <s v="2025-08-27"/>
    <x v="5"/>
    <x v="2"/>
    <x v="3"/>
    <s v="SKU40344"/>
    <x v="1"/>
    <s v="XL"/>
    <n v="4"/>
    <s v="INR"/>
    <n v="343.72"/>
    <s v="Lucknow"/>
    <x v="1"/>
    <n v="226001"/>
    <s v="India"/>
    <s v="Yes"/>
  </r>
  <r>
    <n v="800"/>
    <s v="ORD202500800"/>
    <s v="CUST9522"/>
    <x v="0"/>
    <n v="53"/>
    <x v="0"/>
    <s v="2025-11-26"/>
    <x v="6"/>
    <x v="2"/>
    <x v="3"/>
    <s v="SKU58569"/>
    <x v="2"/>
    <s v="M"/>
    <n v="5"/>
    <s v="INR"/>
    <n v="383.28"/>
    <s v="Lucknow"/>
    <x v="0"/>
    <n v="226001"/>
    <s v="India"/>
    <s v="No"/>
  </r>
  <r>
    <n v="801"/>
    <s v="ORD202500801"/>
    <s v="CUST4701"/>
    <x v="1"/>
    <n v="28"/>
    <x v="1"/>
    <s v="2025-08-17"/>
    <x v="5"/>
    <x v="2"/>
    <x v="3"/>
    <s v="SKU31995"/>
    <x v="2"/>
    <s v="S"/>
    <n v="4"/>
    <s v="INR"/>
    <n v="2377.54"/>
    <s v="Delhi"/>
    <x v="3"/>
    <n v="110001"/>
    <s v="India"/>
    <s v="No"/>
  </r>
  <r>
    <n v="802"/>
    <s v="ORD202500802"/>
    <s v="CUST8286"/>
    <x v="0"/>
    <n v="30"/>
    <x v="2"/>
    <s v="2025-08-30"/>
    <x v="5"/>
    <x v="2"/>
    <x v="3"/>
    <s v="SKU96526"/>
    <x v="3"/>
    <s v="S"/>
    <n v="1"/>
    <s v="INR"/>
    <n v="1358.73"/>
    <s v="Delhi"/>
    <x v="3"/>
    <n v="110001"/>
    <s v="India"/>
    <s v="Yes"/>
  </r>
  <r>
    <n v="803"/>
    <s v="ORD202500803"/>
    <s v="CUST9201"/>
    <x v="0"/>
    <n v="51"/>
    <x v="0"/>
    <s v="2025-12-10"/>
    <x v="1"/>
    <x v="2"/>
    <x v="3"/>
    <s v="SKU26958"/>
    <x v="5"/>
    <s v="L"/>
    <n v="1"/>
    <s v="INR"/>
    <n v="950.35"/>
    <s v="Delhi"/>
    <x v="3"/>
    <n v="110001"/>
    <s v="India"/>
    <s v="Yes"/>
  </r>
  <r>
    <n v="804"/>
    <s v="ORD202500804"/>
    <s v="CUST5447"/>
    <x v="1"/>
    <n v="55"/>
    <x v="0"/>
    <s v="2025-07-07"/>
    <x v="9"/>
    <x v="2"/>
    <x v="3"/>
    <s v="SKU10675"/>
    <x v="1"/>
    <s v="M"/>
    <n v="2"/>
    <s v="INR"/>
    <n v="1200.22"/>
    <s v="Jaipur"/>
    <x v="2"/>
    <n v="302001"/>
    <s v="India"/>
    <s v="No"/>
  </r>
  <r>
    <n v="805"/>
    <s v="ORD202500805"/>
    <s v="CUST6127"/>
    <x v="0"/>
    <n v="40"/>
    <x v="2"/>
    <s v="2025-12-22"/>
    <x v="1"/>
    <x v="2"/>
    <x v="3"/>
    <s v="SKU12717"/>
    <x v="2"/>
    <s v="L"/>
    <n v="5"/>
    <s v="INR"/>
    <n v="2516.5500000000002"/>
    <s v="Mumbai"/>
    <x v="0"/>
    <n v="400001"/>
    <s v="India"/>
    <s v="Yes"/>
  </r>
  <r>
    <n v="806"/>
    <s v="ORD202500806"/>
    <s v="CUST9765"/>
    <x v="0"/>
    <n v="47"/>
    <x v="2"/>
    <s v="2025-12-12"/>
    <x v="1"/>
    <x v="2"/>
    <x v="3"/>
    <s v="SKU98607"/>
    <x v="1"/>
    <s v="XL"/>
    <n v="2"/>
    <s v="INR"/>
    <n v="4465.1099999999997"/>
    <s v="Delhi"/>
    <x v="3"/>
    <n v="110001"/>
    <s v="India"/>
    <s v="No"/>
  </r>
  <r>
    <n v="807"/>
    <s v="ORD202500807"/>
    <s v="CUST7284"/>
    <x v="1"/>
    <n v="49"/>
    <x v="2"/>
    <s v="2025-01-10"/>
    <x v="10"/>
    <x v="2"/>
    <x v="3"/>
    <s v="SKU89646"/>
    <x v="0"/>
    <s v="S"/>
    <n v="3"/>
    <s v="INR"/>
    <n v="3527.75"/>
    <s v="Delhi"/>
    <x v="3"/>
    <n v="110001"/>
    <s v="India"/>
    <s v="Yes"/>
  </r>
  <r>
    <n v="808"/>
    <s v="ORD202500808"/>
    <s v="CUST7617"/>
    <x v="1"/>
    <n v="47"/>
    <x v="2"/>
    <s v="2025-05-03"/>
    <x v="2"/>
    <x v="2"/>
    <x v="3"/>
    <s v="SKU74675"/>
    <x v="0"/>
    <s v="S"/>
    <n v="4"/>
    <s v="INR"/>
    <n v="4921.33"/>
    <s v="Bengaluru"/>
    <x v="1"/>
    <n v="560001"/>
    <s v="India"/>
    <s v="No"/>
  </r>
  <r>
    <n v="809"/>
    <s v="ORD202500809"/>
    <s v="CUST9720"/>
    <x v="1"/>
    <n v="57"/>
    <x v="0"/>
    <s v="2025-08-24"/>
    <x v="5"/>
    <x v="2"/>
    <x v="3"/>
    <s v="SKU14735"/>
    <x v="0"/>
    <s v="XL"/>
    <n v="3"/>
    <s v="INR"/>
    <n v="2882.29"/>
    <s v="Mumbai"/>
    <x v="0"/>
    <n v="400001"/>
    <s v="India"/>
    <s v="Yes"/>
  </r>
  <r>
    <n v="810"/>
    <s v="ORD202500810"/>
    <s v="CUST4408"/>
    <x v="0"/>
    <n v="51"/>
    <x v="0"/>
    <s v="2025-03-15"/>
    <x v="0"/>
    <x v="2"/>
    <x v="3"/>
    <s v="SKU20000"/>
    <x v="4"/>
    <s v="L"/>
    <n v="4"/>
    <s v="INR"/>
    <n v="2497.48"/>
    <s v="Delhi"/>
    <x v="3"/>
    <n v="110001"/>
    <s v="India"/>
    <s v="Yes"/>
  </r>
  <r>
    <n v="811"/>
    <s v="ORD202500811"/>
    <s v="CUST4913"/>
    <x v="1"/>
    <n v="52"/>
    <x v="0"/>
    <s v="2025-03-13"/>
    <x v="0"/>
    <x v="2"/>
    <x v="3"/>
    <s v="SKU17245"/>
    <x v="4"/>
    <s v="S"/>
    <n v="5"/>
    <s v="INR"/>
    <n v="1077.8"/>
    <s v="Delhi"/>
    <x v="3"/>
    <n v="110001"/>
    <s v="India"/>
    <s v="No"/>
  </r>
  <r>
    <n v="812"/>
    <s v="ORD202500812"/>
    <s v="CUST3490"/>
    <x v="1"/>
    <n v="28"/>
    <x v="1"/>
    <s v="2025-08-15"/>
    <x v="5"/>
    <x v="2"/>
    <x v="3"/>
    <s v="SKU85720"/>
    <x v="3"/>
    <s v="M"/>
    <n v="2"/>
    <s v="INR"/>
    <n v="1132.3499999999999"/>
    <s v="Bengaluru"/>
    <x v="1"/>
    <n v="560001"/>
    <s v="India"/>
    <s v="Yes"/>
  </r>
  <r>
    <n v="813"/>
    <s v="ORD202500813"/>
    <s v="CUST9295"/>
    <x v="0"/>
    <n v="33"/>
    <x v="2"/>
    <s v="2025-04-14"/>
    <x v="11"/>
    <x v="2"/>
    <x v="3"/>
    <s v="SKU38268"/>
    <x v="3"/>
    <s v="XL"/>
    <n v="3"/>
    <s v="INR"/>
    <n v="1764.43"/>
    <s v="Delhi"/>
    <x v="3"/>
    <n v="110001"/>
    <s v="India"/>
    <s v="No"/>
  </r>
  <r>
    <n v="814"/>
    <s v="ORD202500814"/>
    <s v="CUST3485"/>
    <x v="0"/>
    <n v="25"/>
    <x v="1"/>
    <s v="2025-09-06"/>
    <x v="7"/>
    <x v="2"/>
    <x v="3"/>
    <s v="SKU85923"/>
    <x v="0"/>
    <s v="M"/>
    <n v="5"/>
    <s v="INR"/>
    <n v="3657.12"/>
    <s v="Jaipur"/>
    <x v="2"/>
    <n v="302001"/>
    <s v="India"/>
    <s v="Yes"/>
  </r>
  <r>
    <n v="815"/>
    <s v="ORD202500815"/>
    <s v="CUST6628"/>
    <x v="1"/>
    <n v="58"/>
    <x v="0"/>
    <s v="2025-11-09"/>
    <x v="6"/>
    <x v="2"/>
    <x v="3"/>
    <s v="SKU47920"/>
    <x v="1"/>
    <s v="S"/>
    <n v="2"/>
    <s v="INR"/>
    <n v="1384.31"/>
    <s v="Mumbai"/>
    <x v="0"/>
    <n v="400001"/>
    <s v="India"/>
    <s v="Yes"/>
  </r>
  <r>
    <n v="816"/>
    <s v="ORD202500816"/>
    <s v="CUST7095"/>
    <x v="0"/>
    <n v="51"/>
    <x v="0"/>
    <s v="2025-04-02"/>
    <x v="11"/>
    <x v="2"/>
    <x v="3"/>
    <s v="SKU64979"/>
    <x v="0"/>
    <s v="XL"/>
    <n v="3"/>
    <s v="INR"/>
    <n v="4119.58"/>
    <s v="Lucknow"/>
    <x v="4"/>
    <n v="226001"/>
    <s v="India"/>
    <s v="No"/>
  </r>
  <r>
    <n v="817"/>
    <s v="ORD202500817"/>
    <s v="CUST4512"/>
    <x v="0"/>
    <n v="50"/>
    <x v="0"/>
    <s v="2025-08-31"/>
    <x v="5"/>
    <x v="2"/>
    <x v="3"/>
    <s v="SKU72974"/>
    <x v="4"/>
    <s v="M"/>
    <n v="1"/>
    <s v="INR"/>
    <n v="1446.62"/>
    <s v="Delhi"/>
    <x v="3"/>
    <n v="110001"/>
    <s v="India"/>
    <s v="Yes"/>
  </r>
  <r>
    <n v="818"/>
    <s v="ORD202500818"/>
    <s v="CUST8733"/>
    <x v="0"/>
    <n v="59"/>
    <x v="0"/>
    <s v="2025-04-26"/>
    <x v="11"/>
    <x v="2"/>
    <x v="3"/>
    <s v="SKU39875"/>
    <x v="0"/>
    <s v="L"/>
    <n v="3"/>
    <s v="INR"/>
    <n v="2864.43"/>
    <s v="Lucknow"/>
    <x v="4"/>
    <n v="226001"/>
    <s v="India"/>
    <s v="Yes"/>
  </r>
  <r>
    <n v="819"/>
    <s v="ORD202500819"/>
    <s v="CUST3507"/>
    <x v="1"/>
    <n v="21"/>
    <x v="1"/>
    <s v="2025-10-19"/>
    <x v="4"/>
    <x v="2"/>
    <x v="3"/>
    <s v="SKU70555"/>
    <x v="0"/>
    <s v="S"/>
    <n v="1"/>
    <s v="INR"/>
    <n v="1071.3"/>
    <s v="Bengaluru"/>
    <x v="1"/>
    <n v="560001"/>
    <s v="India"/>
    <s v="Yes"/>
  </r>
  <r>
    <n v="820"/>
    <s v="ORD202500820"/>
    <s v="CUST2131"/>
    <x v="0"/>
    <n v="36"/>
    <x v="2"/>
    <s v="2025-05-06"/>
    <x v="2"/>
    <x v="2"/>
    <x v="3"/>
    <s v="SKU98555"/>
    <x v="3"/>
    <s v="S"/>
    <n v="3"/>
    <s v="INR"/>
    <n v="4617.97"/>
    <s v="Delhi"/>
    <x v="3"/>
    <n v="110001"/>
    <s v="India"/>
    <s v="No"/>
  </r>
  <r>
    <n v="821"/>
    <s v="ORD202500821"/>
    <s v="CUST2087"/>
    <x v="0"/>
    <n v="48"/>
    <x v="2"/>
    <s v="2025-07-16"/>
    <x v="9"/>
    <x v="2"/>
    <x v="3"/>
    <s v="SKU60759"/>
    <x v="2"/>
    <s v="XL"/>
    <n v="3"/>
    <s v="INR"/>
    <n v="796.12"/>
    <s v="Bengaluru"/>
    <x v="1"/>
    <n v="560001"/>
    <s v="India"/>
    <s v="No"/>
  </r>
  <r>
    <n v="822"/>
    <s v="ORD202500822"/>
    <s v="CUST4988"/>
    <x v="0"/>
    <n v="41"/>
    <x v="2"/>
    <s v="2025-06-18"/>
    <x v="3"/>
    <x v="2"/>
    <x v="3"/>
    <s v="SKU45609"/>
    <x v="4"/>
    <s v="M"/>
    <n v="5"/>
    <s v="INR"/>
    <n v="3560.9"/>
    <s v="Jaipur"/>
    <x v="2"/>
    <n v="302001"/>
    <s v="India"/>
    <s v="No"/>
  </r>
  <r>
    <n v="823"/>
    <s v="ORD202500823"/>
    <s v="CUST2325"/>
    <x v="0"/>
    <n v="44"/>
    <x v="2"/>
    <s v="2025-07-13"/>
    <x v="9"/>
    <x v="2"/>
    <x v="3"/>
    <s v="SKU68661"/>
    <x v="2"/>
    <s v="XL"/>
    <n v="2"/>
    <s v="INR"/>
    <n v="4857.5600000000004"/>
    <s v="Delhi"/>
    <x v="3"/>
    <n v="110001"/>
    <s v="India"/>
    <s v="Yes"/>
  </r>
  <r>
    <n v="824"/>
    <s v="ORD202500824"/>
    <s v="CUST7946"/>
    <x v="0"/>
    <n v="39"/>
    <x v="2"/>
    <s v="2025-06-24"/>
    <x v="3"/>
    <x v="2"/>
    <x v="3"/>
    <s v="SKU76147"/>
    <x v="0"/>
    <s v="M"/>
    <n v="4"/>
    <s v="INR"/>
    <n v="3457.81"/>
    <s v="Lucknow"/>
    <x v="4"/>
    <n v="226001"/>
    <s v="India"/>
    <s v="No"/>
  </r>
  <r>
    <n v="825"/>
    <s v="ORD202500825"/>
    <s v="CUST3048"/>
    <x v="1"/>
    <n v="55"/>
    <x v="0"/>
    <s v="2025-08-18"/>
    <x v="5"/>
    <x v="2"/>
    <x v="3"/>
    <s v="SKU75376"/>
    <x v="5"/>
    <s v="M"/>
    <n v="2"/>
    <s v="INR"/>
    <n v="895.38"/>
    <s v="Bengaluru"/>
    <x v="1"/>
    <n v="560001"/>
    <s v="India"/>
    <s v="Yes"/>
  </r>
  <r>
    <n v="826"/>
    <s v="ORD202500826"/>
    <s v="CUST6948"/>
    <x v="0"/>
    <n v="26"/>
    <x v="1"/>
    <s v="2025-09-26"/>
    <x v="7"/>
    <x v="2"/>
    <x v="3"/>
    <s v="SKU58662"/>
    <x v="5"/>
    <s v="S"/>
    <n v="4"/>
    <s v="INR"/>
    <n v="4061.15"/>
    <s v="Lucknow"/>
    <x v="4"/>
    <n v="226001"/>
    <s v="India"/>
    <s v="No"/>
  </r>
  <r>
    <n v="827"/>
    <s v="ORD202500827"/>
    <s v="CUST6643"/>
    <x v="0"/>
    <n v="24"/>
    <x v="1"/>
    <s v="2025-04-21"/>
    <x v="11"/>
    <x v="2"/>
    <x v="3"/>
    <s v="SKU68000"/>
    <x v="3"/>
    <s v="XL"/>
    <n v="1"/>
    <s v="INR"/>
    <n v="1207"/>
    <s v="Delhi"/>
    <x v="3"/>
    <n v="110001"/>
    <s v="India"/>
    <s v="Yes"/>
  </r>
  <r>
    <n v="828"/>
    <s v="ORD202500828"/>
    <s v="CUST9757"/>
    <x v="0"/>
    <n v="58"/>
    <x v="0"/>
    <s v="2025-08-07"/>
    <x v="5"/>
    <x v="2"/>
    <x v="3"/>
    <s v="SKU16287"/>
    <x v="0"/>
    <s v="S"/>
    <n v="4"/>
    <s v="INR"/>
    <n v="1126.6099999999999"/>
    <s v="Lucknow"/>
    <x v="4"/>
    <n v="226001"/>
    <s v="India"/>
    <s v="Yes"/>
  </r>
  <r>
    <n v="829"/>
    <s v="ORD202500829"/>
    <s v="CUST9380"/>
    <x v="0"/>
    <n v="54"/>
    <x v="0"/>
    <s v="2025-11-02"/>
    <x v="6"/>
    <x v="2"/>
    <x v="3"/>
    <s v="SKU75063"/>
    <x v="3"/>
    <s v="L"/>
    <n v="4"/>
    <s v="INR"/>
    <n v="1586.42"/>
    <s v="Lucknow"/>
    <x v="4"/>
    <n v="226001"/>
    <s v="India"/>
    <s v="Yes"/>
  </r>
  <r>
    <n v="830"/>
    <s v="ORD202500830"/>
    <s v="CUST9000"/>
    <x v="0"/>
    <n v="55"/>
    <x v="0"/>
    <s v="2025-12-16"/>
    <x v="1"/>
    <x v="2"/>
    <x v="3"/>
    <s v="SKU21724"/>
    <x v="3"/>
    <s v="L"/>
    <n v="1"/>
    <s v="INR"/>
    <n v="1480.32"/>
    <s v="Mumbai"/>
    <x v="0"/>
    <n v="400001"/>
    <s v="India"/>
    <s v="No"/>
  </r>
  <r>
    <n v="831"/>
    <s v="ORD202500831"/>
    <s v="CUST8493"/>
    <x v="0"/>
    <n v="56"/>
    <x v="0"/>
    <s v="2025-06-30"/>
    <x v="3"/>
    <x v="2"/>
    <x v="3"/>
    <s v="SKU93021"/>
    <x v="1"/>
    <s v="S"/>
    <n v="3"/>
    <s v="INR"/>
    <n v="1980.37"/>
    <s v="Mumbai"/>
    <x v="0"/>
    <n v="400001"/>
    <s v="India"/>
    <s v="Yes"/>
  </r>
  <r>
    <n v="832"/>
    <s v="ORD202500832"/>
    <s v="CUST2966"/>
    <x v="0"/>
    <n v="24"/>
    <x v="1"/>
    <s v="2025-03-06"/>
    <x v="0"/>
    <x v="2"/>
    <x v="3"/>
    <s v="SKU21337"/>
    <x v="0"/>
    <s v="M"/>
    <n v="3"/>
    <s v="INR"/>
    <n v="3417.58"/>
    <s v="Bengaluru"/>
    <x v="1"/>
    <n v="560001"/>
    <s v="India"/>
    <s v="Yes"/>
  </r>
  <r>
    <n v="833"/>
    <s v="ORD202500833"/>
    <s v="CUST8288"/>
    <x v="0"/>
    <n v="50"/>
    <x v="0"/>
    <s v="2025-06-28"/>
    <x v="3"/>
    <x v="2"/>
    <x v="3"/>
    <s v="SKU38893"/>
    <x v="3"/>
    <s v="M"/>
    <n v="2"/>
    <s v="INR"/>
    <n v="3486.43"/>
    <s v="Lucknow"/>
    <x v="0"/>
    <n v="226001"/>
    <s v="India"/>
    <s v="No"/>
  </r>
  <r>
    <n v="834"/>
    <s v="ORD202500834"/>
    <s v="CUST9690"/>
    <x v="0"/>
    <n v="24"/>
    <x v="1"/>
    <s v="2025-02-01"/>
    <x v="8"/>
    <x v="2"/>
    <x v="3"/>
    <s v="SKU26037"/>
    <x v="5"/>
    <s v="L"/>
    <n v="5"/>
    <s v="INR"/>
    <n v="4135.8500000000004"/>
    <s v="Delhi"/>
    <x v="3"/>
    <n v="110001"/>
    <s v="India"/>
    <s v="No"/>
  </r>
  <r>
    <n v="835"/>
    <s v="ORD202500835"/>
    <s v="CUST8857"/>
    <x v="0"/>
    <n v="28"/>
    <x v="1"/>
    <s v="2025-03-19"/>
    <x v="0"/>
    <x v="2"/>
    <x v="3"/>
    <s v="SKU44881"/>
    <x v="5"/>
    <s v="S"/>
    <n v="5"/>
    <s v="INR"/>
    <n v="595.32000000000005"/>
    <s v="Mumbai"/>
    <x v="0"/>
    <n v="400001"/>
    <s v="India"/>
    <s v="Yes"/>
  </r>
  <r>
    <n v="836"/>
    <s v="ORD202500836"/>
    <s v="CUST1721"/>
    <x v="0"/>
    <n v="24"/>
    <x v="1"/>
    <s v="2025-11-05"/>
    <x v="6"/>
    <x v="2"/>
    <x v="3"/>
    <s v="SKU42984"/>
    <x v="2"/>
    <s v="S"/>
    <n v="5"/>
    <s v="INR"/>
    <n v="386.7"/>
    <s v="Jaipur"/>
    <x v="2"/>
    <n v="302001"/>
    <s v="India"/>
    <s v="Yes"/>
  </r>
  <r>
    <n v="837"/>
    <s v="ORD202500837"/>
    <s v="CUST5474"/>
    <x v="0"/>
    <n v="19"/>
    <x v="1"/>
    <s v="2025-07-29"/>
    <x v="9"/>
    <x v="2"/>
    <x v="3"/>
    <s v="SKU39056"/>
    <x v="0"/>
    <s v="XL"/>
    <n v="4"/>
    <s v="INR"/>
    <n v="3375.2"/>
    <s v="Lucknow"/>
    <x v="4"/>
    <n v="226001"/>
    <s v="India"/>
    <s v="No"/>
  </r>
  <r>
    <n v="838"/>
    <s v="ORD202500838"/>
    <s v="CUST6097"/>
    <x v="0"/>
    <n v="38"/>
    <x v="2"/>
    <s v="2025-12-23"/>
    <x v="1"/>
    <x v="2"/>
    <x v="3"/>
    <s v="SKU65486"/>
    <x v="4"/>
    <s v="S"/>
    <n v="5"/>
    <s v="INR"/>
    <n v="2098.84"/>
    <s v="Lucknow"/>
    <x v="4"/>
    <n v="226001"/>
    <s v="India"/>
    <s v="No"/>
  </r>
  <r>
    <n v="839"/>
    <s v="ORD202500839"/>
    <s v="CUST8558"/>
    <x v="0"/>
    <n v="41"/>
    <x v="2"/>
    <s v="2025-08-04"/>
    <x v="5"/>
    <x v="2"/>
    <x v="3"/>
    <s v="SKU94081"/>
    <x v="2"/>
    <s v="XL"/>
    <n v="1"/>
    <s v="INR"/>
    <n v="3155.68"/>
    <s v="Delhi"/>
    <x v="3"/>
    <n v="110001"/>
    <s v="India"/>
    <s v="Yes"/>
  </r>
  <r>
    <n v="840"/>
    <s v="ORD202500840"/>
    <s v="CUST1350"/>
    <x v="0"/>
    <n v="23"/>
    <x v="1"/>
    <s v="2025-08-10"/>
    <x v="5"/>
    <x v="2"/>
    <x v="3"/>
    <s v="SKU62563"/>
    <x v="4"/>
    <s v="S"/>
    <n v="4"/>
    <s v="INR"/>
    <n v="2929.27"/>
    <s v="Mumbai"/>
    <x v="0"/>
    <n v="400001"/>
    <s v="India"/>
    <s v="Yes"/>
  </r>
  <r>
    <n v="841"/>
    <s v="ORD202500841"/>
    <s v="CUST8403"/>
    <x v="0"/>
    <n v="35"/>
    <x v="2"/>
    <s v="2025-02-08"/>
    <x v="8"/>
    <x v="2"/>
    <x v="3"/>
    <s v="SKU82576"/>
    <x v="2"/>
    <s v="S"/>
    <n v="5"/>
    <s v="INR"/>
    <n v="1627"/>
    <s v="Delhi"/>
    <x v="3"/>
    <n v="110001"/>
    <s v="India"/>
    <s v="No"/>
  </r>
  <r>
    <n v="842"/>
    <s v="ORD202500842"/>
    <s v="CUST5730"/>
    <x v="0"/>
    <n v="44"/>
    <x v="2"/>
    <s v="2025-07-20"/>
    <x v="9"/>
    <x v="2"/>
    <x v="3"/>
    <s v="SKU57088"/>
    <x v="0"/>
    <s v="M"/>
    <n v="5"/>
    <s v="INR"/>
    <n v="872.59"/>
    <s v="Delhi"/>
    <x v="3"/>
    <n v="110001"/>
    <s v="India"/>
    <s v="No"/>
  </r>
  <r>
    <n v="843"/>
    <s v="ORD202500843"/>
    <s v="CUST2657"/>
    <x v="0"/>
    <n v="20"/>
    <x v="1"/>
    <s v="2025-01-17"/>
    <x v="10"/>
    <x v="2"/>
    <x v="3"/>
    <s v="SKU50288"/>
    <x v="2"/>
    <s v="XL"/>
    <n v="1"/>
    <s v="INR"/>
    <n v="3336.13"/>
    <s v="Lucknow"/>
    <x v="4"/>
    <n v="226001"/>
    <s v="India"/>
    <s v="Yes"/>
  </r>
  <r>
    <n v="844"/>
    <s v="ORD202500844"/>
    <s v="CUST7367"/>
    <x v="0"/>
    <n v="40"/>
    <x v="2"/>
    <s v="2025-05-14"/>
    <x v="2"/>
    <x v="2"/>
    <x v="3"/>
    <s v="SKU86292"/>
    <x v="1"/>
    <s v="S"/>
    <n v="5"/>
    <s v="INR"/>
    <n v="1811.54"/>
    <s v="Bengaluru"/>
    <x v="1"/>
    <n v="560001"/>
    <s v="India"/>
    <s v="No"/>
  </r>
  <r>
    <n v="845"/>
    <s v="ORD202500845"/>
    <s v="CUST5449"/>
    <x v="0"/>
    <n v="30"/>
    <x v="2"/>
    <s v="2025-01-13"/>
    <x v="10"/>
    <x v="2"/>
    <x v="3"/>
    <s v="SKU15257"/>
    <x v="5"/>
    <s v="S"/>
    <n v="5"/>
    <s v="INR"/>
    <n v="3578.15"/>
    <s v="Bengaluru"/>
    <x v="1"/>
    <n v="560001"/>
    <s v="India"/>
    <s v="No"/>
  </r>
  <r>
    <n v="846"/>
    <s v="ORD202500846"/>
    <s v="CUST5961"/>
    <x v="0"/>
    <n v="54"/>
    <x v="0"/>
    <s v="2025-06-27"/>
    <x v="3"/>
    <x v="2"/>
    <x v="3"/>
    <s v="SKU53490"/>
    <x v="4"/>
    <s v="M"/>
    <n v="3"/>
    <s v="INR"/>
    <n v="721.98"/>
    <s v="Bengaluru"/>
    <x v="1"/>
    <n v="560001"/>
    <s v="India"/>
    <s v="No"/>
  </r>
  <r>
    <n v="847"/>
    <s v="ORD202500847"/>
    <s v="CUST7581"/>
    <x v="0"/>
    <n v="20"/>
    <x v="1"/>
    <s v="2025-07-22"/>
    <x v="9"/>
    <x v="2"/>
    <x v="1"/>
    <s v="SKU80655"/>
    <x v="0"/>
    <s v="M"/>
    <n v="5"/>
    <s v="INR"/>
    <n v="1423.07"/>
    <s v="Jaipur"/>
    <x v="2"/>
    <n v="302001"/>
    <s v="India"/>
    <s v="Yes"/>
  </r>
  <r>
    <n v="848"/>
    <s v="ORD202500848"/>
    <s v="CUST5901"/>
    <x v="0"/>
    <n v="30"/>
    <x v="2"/>
    <s v="2025-09-17"/>
    <x v="7"/>
    <x v="2"/>
    <x v="4"/>
    <s v="SKU30675"/>
    <x v="0"/>
    <s v="XL"/>
    <n v="4"/>
    <s v="INR"/>
    <n v="3528.11"/>
    <s v="Delhi"/>
    <x v="3"/>
    <n v="110001"/>
    <s v="India"/>
    <s v="No"/>
  </r>
  <r>
    <n v="849"/>
    <s v="ORD202500849"/>
    <s v="CUST7121"/>
    <x v="0"/>
    <n v="31"/>
    <x v="2"/>
    <s v="2025-06-28"/>
    <x v="3"/>
    <x v="2"/>
    <x v="4"/>
    <s v="SKU21635"/>
    <x v="2"/>
    <s v="S"/>
    <n v="2"/>
    <s v="INR"/>
    <n v="1825.79"/>
    <s v="Lucknow"/>
    <x v="0"/>
    <n v="226001"/>
    <s v="India"/>
    <s v="Yes"/>
  </r>
  <r>
    <n v="850"/>
    <s v="ORD202500850"/>
    <s v="CUST3175"/>
    <x v="0"/>
    <n v="55"/>
    <x v="0"/>
    <s v="2025-10-18"/>
    <x v="4"/>
    <x v="2"/>
    <x v="1"/>
    <s v="SKU62032"/>
    <x v="3"/>
    <s v="L"/>
    <n v="4"/>
    <s v="INR"/>
    <n v="4661.97"/>
    <s v="Lucknow"/>
    <x v="0"/>
    <n v="226001"/>
    <s v="India"/>
    <s v="Yes"/>
  </r>
  <r>
    <n v="851"/>
    <s v="ORD202500851"/>
    <s v="CUST4516"/>
    <x v="0"/>
    <n v="26"/>
    <x v="1"/>
    <s v="2025-12-02"/>
    <x v="1"/>
    <x v="2"/>
    <x v="2"/>
    <s v="SKU91882"/>
    <x v="1"/>
    <s v="L"/>
    <n v="4"/>
    <s v="INR"/>
    <n v="1496.04"/>
    <s v="Bengaluru"/>
    <x v="0"/>
    <n v="560001"/>
    <s v="India"/>
    <s v="Yes"/>
  </r>
  <r>
    <n v="852"/>
    <s v="ORD202500852"/>
    <s v="CUST6823"/>
    <x v="0"/>
    <n v="32"/>
    <x v="2"/>
    <s v="2025-02-09"/>
    <x v="8"/>
    <x v="2"/>
    <x v="4"/>
    <s v="SKU51146"/>
    <x v="4"/>
    <s v="S"/>
    <n v="2"/>
    <s v="INR"/>
    <n v="3378.37"/>
    <s v="Mumbai"/>
    <x v="0"/>
    <n v="400001"/>
    <s v="India"/>
    <s v="Yes"/>
  </r>
  <r>
    <n v="853"/>
    <s v="ORD202500853"/>
    <s v="CUST3352"/>
    <x v="0"/>
    <n v="31"/>
    <x v="2"/>
    <s v="2025-03-05"/>
    <x v="0"/>
    <x v="2"/>
    <x v="5"/>
    <s v="SKU24247"/>
    <x v="0"/>
    <s v="L"/>
    <n v="5"/>
    <s v="INR"/>
    <n v="3809.01"/>
    <s v="Delhi"/>
    <x v="3"/>
    <n v="110001"/>
    <s v="India"/>
    <s v="Yes"/>
  </r>
  <r>
    <n v="854"/>
    <s v="ORD202500854"/>
    <s v="CUST1057"/>
    <x v="0"/>
    <n v="32"/>
    <x v="2"/>
    <s v="2025-06-02"/>
    <x v="3"/>
    <x v="2"/>
    <x v="1"/>
    <s v="SKU46711"/>
    <x v="0"/>
    <s v="M"/>
    <n v="3"/>
    <s v="INR"/>
    <n v="455.59"/>
    <s v="Lucknow"/>
    <x v="0"/>
    <n v="226001"/>
    <s v="India"/>
    <s v="Yes"/>
  </r>
  <r>
    <n v="855"/>
    <s v="ORD202500855"/>
    <s v="CUST1120"/>
    <x v="0"/>
    <n v="37"/>
    <x v="2"/>
    <s v="2025-05-25"/>
    <x v="2"/>
    <x v="2"/>
    <x v="4"/>
    <s v="SKU17575"/>
    <x v="0"/>
    <s v="XL"/>
    <n v="5"/>
    <s v="INR"/>
    <n v="2365.7800000000002"/>
    <s v="Mumbai"/>
    <x v="0"/>
    <n v="400001"/>
    <s v="India"/>
    <s v="Yes"/>
  </r>
  <r>
    <n v="856"/>
    <s v="ORD202500856"/>
    <s v="CUST2672"/>
    <x v="0"/>
    <n v="32"/>
    <x v="2"/>
    <s v="2025-05-01"/>
    <x v="2"/>
    <x v="2"/>
    <x v="1"/>
    <s v="SKU85721"/>
    <x v="0"/>
    <s v="L"/>
    <n v="5"/>
    <s v="INR"/>
    <n v="1619.51"/>
    <s v="Mumbai"/>
    <x v="0"/>
    <n v="400001"/>
    <s v="India"/>
    <s v="No"/>
  </r>
  <r>
    <n v="857"/>
    <s v="ORD202500857"/>
    <s v="CUST7682"/>
    <x v="0"/>
    <n v="34"/>
    <x v="2"/>
    <s v="2025-08-17"/>
    <x v="5"/>
    <x v="2"/>
    <x v="4"/>
    <s v="SKU92250"/>
    <x v="5"/>
    <s v="XL"/>
    <n v="4"/>
    <s v="INR"/>
    <n v="3339.9"/>
    <s v="Jaipur"/>
    <x v="2"/>
    <n v="302001"/>
    <s v="India"/>
    <s v="No"/>
  </r>
  <r>
    <n v="858"/>
    <s v="ORD202500858"/>
    <s v="CUST2553"/>
    <x v="0"/>
    <n v="24"/>
    <x v="1"/>
    <s v="2025-05-11"/>
    <x v="2"/>
    <x v="2"/>
    <x v="3"/>
    <s v="SKU61511"/>
    <x v="0"/>
    <s v="M"/>
    <n v="5"/>
    <s v="INR"/>
    <n v="4370.97"/>
    <s v="Bengaluru"/>
    <x v="1"/>
    <n v="560001"/>
    <s v="India"/>
    <s v="No"/>
  </r>
  <r>
    <n v="859"/>
    <s v="ORD202500859"/>
    <s v="CUST9392"/>
    <x v="0"/>
    <n v="50"/>
    <x v="0"/>
    <s v="2025-08-02"/>
    <x v="5"/>
    <x v="2"/>
    <x v="3"/>
    <s v="SKU71453"/>
    <x v="5"/>
    <s v="M"/>
    <n v="5"/>
    <s v="INR"/>
    <n v="4190.42"/>
    <s v="Delhi"/>
    <x v="3"/>
    <n v="110001"/>
    <s v="India"/>
    <s v="Yes"/>
  </r>
  <r>
    <n v="860"/>
    <s v="ORD202500860"/>
    <s v="CUST4789"/>
    <x v="0"/>
    <n v="25"/>
    <x v="1"/>
    <s v="2025-07-03"/>
    <x v="9"/>
    <x v="2"/>
    <x v="2"/>
    <s v="SKU26488"/>
    <x v="1"/>
    <s v="XL"/>
    <n v="4"/>
    <s v="INR"/>
    <n v="2369.89"/>
    <s v="Bengaluru"/>
    <x v="1"/>
    <n v="560001"/>
    <s v="India"/>
    <s v="Yes"/>
  </r>
  <r>
    <n v="861"/>
    <s v="ORD202500861"/>
    <s v="CUST4224"/>
    <x v="0"/>
    <n v="46"/>
    <x v="2"/>
    <s v="2025-04-04"/>
    <x v="11"/>
    <x v="2"/>
    <x v="4"/>
    <s v="SKU73449"/>
    <x v="1"/>
    <s v="XL"/>
    <n v="3"/>
    <s v="INR"/>
    <n v="2843.52"/>
    <s v="Delhi"/>
    <x v="3"/>
    <n v="110001"/>
    <s v="India"/>
    <s v="Yes"/>
  </r>
  <r>
    <n v="862"/>
    <s v="ORD202500862"/>
    <s v="CUST7334"/>
    <x v="0"/>
    <n v="50"/>
    <x v="0"/>
    <s v="2025-03-15"/>
    <x v="0"/>
    <x v="2"/>
    <x v="5"/>
    <s v="SKU49792"/>
    <x v="4"/>
    <s v="XL"/>
    <n v="4"/>
    <s v="INR"/>
    <n v="2240.09"/>
    <s v="Lucknow"/>
    <x v="4"/>
    <n v="226001"/>
    <s v="India"/>
    <s v="Yes"/>
  </r>
  <r>
    <n v="863"/>
    <s v="ORD202500863"/>
    <s v="CUST5479"/>
    <x v="0"/>
    <n v="48"/>
    <x v="2"/>
    <s v="2025-08-30"/>
    <x v="5"/>
    <x v="2"/>
    <x v="0"/>
    <s v="SKU88573"/>
    <x v="2"/>
    <s v="XL"/>
    <n v="4"/>
    <s v="INR"/>
    <n v="1861.04"/>
    <s v="Jaipur"/>
    <x v="2"/>
    <n v="302001"/>
    <s v="India"/>
    <s v="No"/>
  </r>
  <r>
    <n v="864"/>
    <s v="ORD202500864"/>
    <s v="CUST9258"/>
    <x v="0"/>
    <n v="30"/>
    <x v="2"/>
    <s v="2025-04-15"/>
    <x v="11"/>
    <x v="2"/>
    <x v="4"/>
    <s v="SKU57558"/>
    <x v="0"/>
    <s v="XL"/>
    <n v="1"/>
    <s v="INR"/>
    <n v="2590.2600000000002"/>
    <s v="Jaipur"/>
    <x v="2"/>
    <n v="302001"/>
    <s v="India"/>
    <s v="No"/>
  </r>
  <r>
    <n v="865"/>
    <s v="ORD202500865"/>
    <s v="CUST8683"/>
    <x v="0"/>
    <n v="33"/>
    <x v="2"/>
    <s v="2025-11-01"/>
    <x v="6"/>
    <x v="2"/>
    <x v="5"/>
    <s v="SKU61866"/>
    <x v="3"/>
    <s v="M"/>
    <n v="5"/>
    <s v="INR"/>
    <n v="4877.26"/>
    <s v="Delhi"/>
    <x v="3"/>
    <n v="110001"/>
    <s v="India"/>
    <s v="Yes"/>
  </r>
  <r>
    <n v="866"/>
    <s v="ORD202500866"/>
    <s v="CUST7255"/>
    <x v="0"/>
    <n v="28"/>
    <x v="1"/>
    <s v="2025-07-10"/>
    <x v="9"/>
    <x v="2"/>
    <x v="5"/>
    <s v="SKU13411"/>
    <x v="1"/>
    <s v="M"/>
    <n v="4"/>
    <s v="INR"/>
    <n v="1872.18"/>
    <s v="Bengaluru"/>
    <x v="1"/>
    <n v="560001"/>
    <s v="India"/>
    <s v="No"/>
  </r>
  <r>
    <n v="867"/>
    <s v="ORD202500867"/>
    <s v="CUST8097"/>
    <x v="0"/>
    <n v="52"/>
    <x v="0"/>
    <s v="2025-09-30"/>
    <x v="7"/>
    <x v="2"/>
    <x v="2"/>
    <s v="SKU13613"/>
    <x v="1"/>
    <s v="L"/>
    <n v="4"/>
    <s v="INR"/>
    <n v="4542.7"/>
    <s v="Lucknow"/>
    <x v="4"/>
    <n v="226001"/>
    <s v="India"/>
    <s v="No"/>
  </r>
  <r>
    <n v="868"/>
    <s v="ORD202500868"/>
    <s v="CUST2929"/>
    <x v="0"/>
    <n v="25"/>
    <x v="1"/>
    <s v="2025-03-24"/>
    <x v="0"/>
    <x v="2"/>
    <x v="1"/>
    <s v="SKU27877"/>
    <x v="3"/>
    <s v="L"/>
    <n v="3"/>
    <s v="INR"/>
    <n v="2850.33"/>
    <s v="Mumbai"/>
    <x v="0"/>
    <n v="400001"/>
    <s v="India"/>
    <s v="No"/>
  </r>
  <r>
    <n v="869"/>
    <s v="ORD202500869"/>
    <s v="CUST1401"/>
    <x v="0"/>
    <n v="40"/>
    <x v="2"/>
    <s v="2025-04-07"/>
    <x v="11"/>
    <x v="2"/>
    <x v="3"/>
    <s v="SKU37150"/>
    <x v="5"/>
    <s v="M"/>
    <n v="1"/>
    <s v="INR"/>
    <n v="3854.82"/>
    <s v="Jaipur"/>
    <x v="2"/>
    <n v="302001"/>
    <s v="India"/>
    <s v="Yes"/>
  </r>
  <r>
    <n v="870"/>
    <s v="ORD202500870"/>
    <s v="CUST4745"/>
    <x v="0"/>
    <n v="26"/>
    <x v="1"/>
    <s v="2025-11-22"/>
    <x v="6"/>
    <x v="2"/>
    <x v="1"/>
    <s v="SKU99093"/>
    <x v="5"/>
    <s v="M"/>
    <n v="3"/>
    <s v="INR"/>
    <n v="2405.59"/>
    <s v="Lucknow"/>
    <x v="4"/>
    <n v="226001"/>
    <s v="India"/>
    <s v="No"/>
  </r>
  <r>
    <n v="871"/>
    <s v="ORD202500871"/>
    <s v="CUST2055"/>
    <x v="0"/>
    <n v="34"/>
    <x v="2"/>
    <s v="2025-09-18"/>
    <x v="7"/>
    <x v="2"/>
    <x v="4"/>
    <s v="SKU10195"/>
    <x v="1"/>
    <s v="S"/>
    <n v="2"/>
    <s v="INR"/>
    <n v="3132.33"/>
    <s v="Delhi"/>
    <x v="3"/>
    <n v="110001"/>
    <s v="India"/>
    <s v="Yes"/>
  </r>
  <r>
    <n v="872"/>
    <s v="ORD202500872"/>
    <s v="CUST7836"/>
    <x v="0"/>
    <n v="60"/>
    <x v="0"/>
    <s v="2025-08-22"/>
    <x v="5"/>
    <x v="2"/>
    <x v="2"/>
    <s v="SKU67414"/>
    <x v="2"/>
    <s v="M"/>
    <n v="5"/>
    <s v="INR"/>
    <n v="2657.91"/>
    <s v="Mumbai"/>
    <x v="0"/>
    <n v="400001"/>
    <s v="India"/>
    <s v="Yes"/>
  </r>
  <r>
    <n v="873"/>
    <s v="ORD202500873"/>
    <s v="CUST2191"/>
    <x v="0"/>
    <n v="60"/>
    <x v="0"/>
    <s v="2025-03-24"/>
    <x v="0"/>
    <x v="2"/>
    <x v="1"/>
    <s v="SKU22408"/>
    <x v="4"/>
    <s v="S"/>
    <n v="4"/>
    <s v="INR"/>
    <n v="1944.53"/>
    <s v="Jaipur"/>
    <x v="2"/>
    <n v="302001"/>
    <s v="India"/>
    <s v="No"/>
  </r>
  <r>
    <n v="874"/>
    <s v="ORD202500874"/>
    <s v="CUST3103"/>
    <x v="0"/>
    <n v="34"/>
    <x v="2"/>
    <s v="2025-04-18"/>
    <x v="11"/>
    <x v="2"/>
    <x v="1"/>
    <s v="SKU69860"/>
    <x v="4"/>
    <s v="XL"/>
    <n v="5"/>
    <s v="INR"/>
    <n v="1199.82"/>
    <s v="Jaipur"/>
    <x v="2"/>
    <n v="302001"/>
    <s v="India"/>
    <s v="No"/>
  </r>
  <r>
    <n v="875"/>
    <s v="ORD202500875"/>
    <s v="CUST2118"/>
    <x v="0"/>
    <n v="40"/>
    <x v="2"/>
    <s v="2025-05-04"/>
    <x v="2"/>
    <x v="2"/>
    <x v="4"/>
    <s v="SKU25068"/>
    <x v="4"/>
    <s v="XL"/>
    <n v="5"/>
    <s v="INR"/>
    <n v="3091.73"/>
    <s v="Lucknow"/>
    <x v="4"/>
    <n v="226001"/>
    <s v="India"/>
    <s v="Yes"/>
  </r>
  <r>
    <n v="876"/>
    <s v="ORD202500876"/>
    <s v="CUST6337"/>
    <x v="0"/>
    <n v="33"/>
    <x v="2"/>
    <s v="2025-05-20"/>
    <x v="2"/>
    <x v="2"/>
    <x v="4"/>
    <s v="SKU81915"/>
    <x v="1"/>
    <s v="S"/>
    <n v="3"/>
    <s v="INR"/>
    <n v="3774.36"/>
    <s v="Jaipur"/>
    <x v="2"/>
    <n v="302001"/>
    <s v="India"/>
    <s v="No"/>
  </r>
  <r>
    <n v="877"/>
    <s v="ORD202500877"/>
    <s v="CUST4253"/>
    <x v="0"/>
    <n v="41"/>
    <x v="2"/>
    <s v="2025-07-08"/>
    <x v="9"/>
    <x v="2"/>
    <x v="1"/>
    <s v="SKU19962"/>
    <x v="4"/>
    <s v="S"/>
    <n v="4"/>
    <s v="INR"/>
    <n v="1836.56"/>
    <s v="Mumbai"/>
    <x v="0"/>
    <n v="400001"/>
    <s v="India"/>
    <s v="No"/>
  </r>
  <r>
    <n v="878"/>
    <s v="ORD202500878"/>
    <s v="CUST8048"/>
    <x v="0"/>
    <n v="28"/>
    <x v="1"/>
    <s v="2025-09-27"/>
    <x v="7"/>
    <x v="2"/>
    <x v="5"/>
    <s v="SKU84806"/>
    <x v="0"/>
    <s v="XL"/>
    <n v="4"/>
    <s v="INR"/>
    <n v="347.22"/>
    <s v="Bengaluru"/>
    <x v="1"/>
    <n v="560001"/>
    <s v="India"/>
    <s v="Yes"/>
  </r>
  <r>
    <n v="879"/>
    <s v="ORD202500879"/>
    <s v="CUST5914"/>
    <x v="0"/>
    <n v="34"/>
    <x v="2"/>
    <s v="2025-01-30"/>
    <x v="10"/>
    <x v="2"/>
    <x v="3"/>
    <s v="SKU27310"/>
    <x v="3"/>
    <s v="L"/>
    <n v="2"/>
    <s v="INR"/>
    <n v="1410.52"/>
    <s v="Bengaluru"/>
    <x v="1"/>
    <n v="560001"/>
    <s v="India"/>
    <s v="No"/>
  </r>
  <r>
    <n v="880"/>
    <s v="ORD202500880"/>
    <s v="CUST4350"/>
    <x v="0"/>
    <n v="22"/>
    <x v="1"/>
    <s v="2025-09-14"/>
    <x v="7"/>
    <x v="2"/>
    <x v="3"/>
    <s v="SKU53451"/>
    <x v="2"/>
    <s v="L"/>
    <n v="4"/>
    <s v="INR"/>
    <n v="2336.5500000000002"/>
    <s v="Jaipur"/>
    <x v="2"/>
    <n v="302001"/>
    <s v="India"/>
    <s v="Yes"/>
  </r>
  <r>
    <n v="881"/>
    <s v="ORD202500881"/>
    <s v="CUST2188"/>
    <x v="0"/>
    <n v="58"/>
    <x v="0"/>
    <s v="2025-02-17"/>
    <x v="8"/>
    <x v="2"/>
    <x v="4"/>
    <s v="SKU67890"/>
    <x v="2"/>
    <s v="L"/>
    <n v="4"/>
    <s v="INR"/>
    <n v="1370.3"/>
    <s v="Delhi"/>
    <x v="3"/>
    <n v="110001"/>
    <s v="India"/>
    <s v="Yes"/>
  </r>
  <r>
    <n v="882"/>
    <s v="ORD202500882"/>
    <s v="CUST4175"/>
    <x v="0"/>
    <n v="23"/>
    <x v="1"/>
    <s v="2025-10-28"/>
    <x v="4"/>
    <x v="2"/>
    <x v="4"/>
    <s v="SKU55410"/>
    <x v="1"/>
    <s v="L"/>
    <n v="4"/>
    <s v="INR"/>
    <n v="3807.06"/>
    <s v="Delhi"/>
    <x v="3"/>
    <n v="110001"/>
    <s v="India"/>
    <s v="Yes"/>
  </r>
  <r>
    <n v="883"/>
    <s v="ORD202500883"/>
    <s v="CUST2112"/>
    <x v="0"/>
    <n v="42"/>
    <x v="2"/>
    <s v="2025-04-02"/>
    <x v="11"/>
    <x v="2"/>
    <x v="1"/>
    <s v="SKU29636"/>
    <x v="0"/>
    <s v="M"/>
    <n v="3"/>
    <s v="INR"/>
    <n v="2967.53"/>
    <s v="Delhi"/>
    <x v="3"/>
    <n v="110001"/>
    <s v="India"/>
    <s v="Yes"/>
  </r>
  <r>
    <n v="884"/>
    <s v="ORD202500884"/>
    <s v="CUST8332"/>
    <x v="0"/>
    <n v="38"/>
    <x v="2"/>
    <s v="2025-02-11"/>
    <x v="8"/>
    <x v="2"/>
    <x v="4"/>
    <s v="SKU98384"/>
    <x v="1"/>
    <s v="L"/>
    <n v="2"/>
    <s v="INR"/>
    <n v="386.07"/>
    <s v="Delhi"/>
    <x v="3"/>
    <n v="110001"/>
    <s v="India"/>
    <s v="Yes"/>
  </r>
  <r>
    <n v="885"/>
    <s v="ORD202500885"/>
    <s v="CUST2869"/>
    <x v="0"/>
    <n v="35"/>
    <x v="2"/>
    <s v="2025-11-29"/>
    <x v="6"/>
    <x v="2"/>
    <x v="2"/>
    <s v="SKU70875"/>
    <x v="3"/>
    <s v="S"/>
    <n v="1"/>
    <s v="INR"/>
    <n v="923.38"/>
    <s v="Jaipur"/>
    <x v="2"/>
    <n v="302001"/>
    <s v="India"/>
    <s v="No"/>
  </r>
  <r>
    <n v="886"/>
    <s v="ORD202500886"/>
    <s v="CUST5921"/>
    <x v="0"/>
    <n v="54"/>
    <x v="0"/>
    <s v="2025-08-15"/>
    <x v="5"/>
    <x v="2"/>
    <x v="5"/>
    <s v="SKU15979"/>
    <x v="2"/>
    <s v="XL"/>
    <n v="3"/>
    <s v="INR"/>
    <n v="4321.82"/>
    <s v="Bengaluru"/>
    <x v="1"/>
    <n v="560001"/>
    <s v="India"/>
    <s v="No"/>
  </r>
  <r>
    <n v="887"/>
    <s v="ORD202500887"/>
    <s v="CUST2696"/>
    <x v="0"/>
    <n v="50"/>
    <x v="0"/>
    <s v="2025-02-01"/>
    <x v="8"/>
    <x v="2"/>
    <x v="0"/>
    <s v="SKU81114"/>
    <x v="1"/>
    <s v="L"/>
    <n v="2"/>
    <s v="INR"/>
    <n v="4699.1400000000003"/>
    <s v="Lucknow"/>
    <x v="4"/>
    <n v="226001"/>
    <s v="India"/>
    <s v="No"/>
  </r>
  <r>
    <n v="888"/>
    <s v="ORD202500888"/>
    <s v="CUST7509"/>
    <x v="0"/>
    <n v="32"/>
    <x v="2"/>
    <s v="2025-01-09"/>
    <x v="10"/>
    <x v="2"/>
    <x v="4"/>
    <s v="SKU40301"/>
    <x v="0"/>
    <s v="XL"/>
    <n v="3"/>
    <s v="INR"/>
    <n v="995.41"/>
    <s v="Jaipur"/>
    <x v="2"/>
    <n v="302001"/>
    <s v="India"/>
    <s v="No"/>
  </r>
  <r>
    <n v="889"/>
    <s v="ORD202500889"/>
    <s v="CUST2738"/>
    <x v="0"/>
    <n v="46"/>
    <x v="2"/>
    <s v="2025-05-31"/>
    <x v="2"/>
    <x v="2"/>
    <x v="3"/>
    <s v="SKU19352"/>
    <x v="0"/>
    <s v="M"/>
    <n v="1"/>
    <s v="INR"/>
    <n v="3186.78"/>
    <s v="Bengaluru"/>
    <x v="1"/>
    <n v="560001"/>
    <s v="India"/>
    <s v="No"/>
  </r>
  <r>
    <n v="890"/>
    <s v="ORD202500890"/>
    <s v="CUST6915"/>
    <x v="0"/>
    <n v="55"/>
    <x v="0"/>
    <s v="2025-08-20"/>
    <x v="5"/>
    <x v="2"/>
    <x v="3"/>
    <s v="SKU96878"/>
    <x v="5"/>
    <s v="XL"/>
    <n v="1"/>
    <s v="INR"/>
    <n v="2873.52"/>
    <s v="Lucknow"/>
    <x v="0"/>
    <n v="226001"/>
    <s v="India"/>
    <s v="Yes"/>
  </r>
  <r>
    <n v="891"/>
    <s v="ORD202500891"/>
    <s v="CUST1128"/>
    <x v="0"/>
    <n v="18"/>
    <x v="1"/>
    <s v="2025-12-07"/>
    <x v="1"/>
    <x v="2"/>
    <x v="3"/>
    <s v="SKU50489"/>
    <x v="1"/>
    <s v="L"/>
    <n v="4"/>
    <s v="INR"/>
    <n v="2596.1799999999998"/>
    <s v="Bengaluru"/>
    <x v="0"/>
    <n v="560001"/>
    <s v="India"/>
    <s v="No"/>
  </r>
  <r>
    <n v="892"/>
    <s v="ORD202500892"/>
    <s v="CUST4661"/>
    <x v="0"/>
    <n v="52"/>
    <x v="0"/>
    <s v="2025-10-17"/>
    <x v="4"/>
    <x v="2"/>
    <x v="3"/>
    <s v="SKU90771"/>
    <x v="5"/>
    <s v="M"/>
    <n v="3"/>
    <s v="INR"/>
    <n v="2674.07"/>
    <s v="Lucknow"/>
    <x v="0"/>
    <n v="226001"/>
    <s v="India"/>
    <s v="No"/>
  </r>
  <r>
    <n v="893"/>
    <s v="ORD202500893"/>
    <s v="CUST6496"/>
    <x v="0"/>
    <n v="25"/>
    <x v="1"/>
    <s v="2025-11-01"/>
    <x v="6"/>
    <x v="2"/>
    <x v="3"/>
    <s v="SKU57914"/>
    <x v="1"/>
    <s v="M"/>
    <n v="2"/>
    <s v="INR"/>
    <n v="4552.43"/>
    <s v="Lucknow"/>
    <x v="0"/>
    <n v="226001"/>
    <s v="India"/>
    <s v="Yes"/>
  </r>
  <r>
    <n v="894"/>
    <s v="ORD202500894"/>
    <s v="CUST8082"/>
    <x v="0"/>
    <n v="46"/>
    <x v="2"/>
    <s v="2025-11-06"/>
    <x v="6"/>
    <x v="2"/>
    <x v="3"/>
    <s v="SKU81693"/>
    <x v="1"/>
    <s v="M"/>
    <n v="4"/>
    <s v="INR"/>
    <n v="2962.61"/>
    <s v="Bengaluru"/>
    <x v="0"/>
    <n v="560001"/>
    <s v="India"/>
    <s v="Yes"/>
  </r>
  <r>
    <n v="895"/>
    <s v="ORD202500895"/>
    <s v="CUST7053"/>
    <x v="0"/>
    <n v="31"/>
    <x v="2"/>
    <s v="2025-11-08"/>
    <x v="6"/>
    <x v="2"/>
    <x v="3"/>
    <s v="SKU11620"/>
    <x v="5"/>
    <s v="XL"/>
    <n v="4"/>
    <s v="INR"/>
    <n v="698.99"/>
    <s v="Lucknow"/>
    <x v="0"/>
    <n v="226001"/>
    <s v="India"/>
    <s v="Yes"/>
  </r>
  <r>
    <n v="896"/>
    <s v="ORD202500896"/>
    <s v="CUST7588"/>
    <x v="0"/>
    <n v="52"/>
    <x v="0"/>
    <s v="2025-07-30"/>
    <x v="9"/>
    <x v="2"/>
    <x v="3"/>
    <s v="SKU32738"/>
    <x v="3"/>
    <s v="M"/>
    <n v="1"/>
    <s v="INR"/>
    <n v="662.96"/>
    <s v="Bengaluru"/>
    <x v="0"/>
    <n v="560001"/>
    <s v="India"/>
    <s v="No"/>
  </r>
  <r>
    <n v="897"/>
    <s v="ORD202500897"/>
    <s v="CUST4635"/>
    <x v="0"/>
    <n v="56"/>
    <x v="0"/>
    <s v="2025-07-03"/>
    <x v="9"/>
    <x v="2"/>
    <x v="3"/>
    <s v="SKU55449"/>
    <x v="2"/>
    <s v="XL"/>
    <n v="4"/>
    <s v="INR"/>
    <n v="3690.67"/>
    <s v="Lucknow"/>
    <x v="0"/>
    <n v="226001"/>
    <s v="India"/>
    <s v="Yes"/>
  </r>
  <r>
    <n v="898"/>
    <s v="ORD202500898"/>
    <s v="CUST8475"/>
    <x v="0"/>
    <n v="42"/>
    <x v="2"/>
    <s v="2025-04-20"/>
    <x v="11"/>
    <x v="2"/>
    <x v="3"/>
    <s v="SKU59908"/>
    <x v="2"/>
    <s v="L"/>
    <n v="4"/>
    <s v="INR"/>
    <n v="1605.77"/>
    <s v="Jaipur"/>
    <x v="2"/>
    <n v="302001"/>
    <s v="India"/>
    <s v="Yes"/>
  </r>
  <r>
    <n v="899"/>
    <s v="ORD202500899"/>
    <s v="CUST5242"/>
    <x v="0"/>
    <n v="36"/>
    <x v="2"/>
    <s v="2025-10-13"/>
    <x v="4"/>
    <x v="2"/>
    <x v="3"/>
    <s v="SKU15991"/>
    <x v="1"/>
    <s v="S"/>
    <n v="5"/>
    <s v="INR"/>
    <n v="1213.5999999999999"/>
    <s v="Lucknow"/>
    <x v="4"/>
    <n v="226001"/>
    <s v="India"/>
    <s v="No"/>
  </r>
  <r>
    <n v="900"/>
    <s v="ORD202500900"/>
    <s v="CUST2873"/>
    <x v="0"/>
    <n v="59"/>
    <x v="0"/>
    <s v="2025-05-31"/>
    <x v="2"/>
    <x v="2"/>
    <x v="3"/>
    <s v="SKU82384"/>
    <x v="5"/>
    <s v="L"/>
    <n v="3"/>
    <s v="INR"/>
    <n v="2160.31"/>
    <s v="Jaipur"/>
    <x v="2"/>
    <n v="302001"/>
    <s v="India"/>
    <s v="Yes"/>
  </r>
  <r>
    <n v="901"/>
    <s v="ORD202500901"/>
    <s v="CUST6332"/>
    <x v="0"/>
    <n v="30"/>
    <x v="2"/>
    <s v="2025-10-31"/>
    <x v="4"/>
    <x v="2"/>
    <x v="3"/>
    <s v="SKU41625"/>
    <x v="4"/>
    <s v="S"/>
    <n v="1"/>
    <s v="INR"/>
    <n v="3494.32"/>
    <s v="Delhi"/>
    <x v="3"/>
    <n v="110001"/>
    <s v="India"/>
    <s v="No"/>
  </r>
  <r>
    <n v="902"/>
    <s v="ORD202500902"/>
    <s v="CUST6135"/>
    <x v="0"/>
    <n v="55"/>
    <x v="0"/>
    <s v="2025-02-23"/>
    <x v="8"/>
    <x v="2"/>
    <x v="3"/>
    <s v="SKU89409"/>
    <x v="4"/>
    <s v="L"/>
    <n v="5"/>
    <s v="INR"/>
    <n v="2815.1"/>
    <s v="Bengaluru"/>
    <x v="1"/>
    <n v="560001"/>
    <s v="India"/>
    <s v="No"/>
  </r>
  <r>
    <n v="903"/>
    <s v="ORD202500903"/>
    <s v="CUST4197"/>
    <x v="0"/>
    <n v="34"/>
    <x v="2"/>
    <s v="2025-02-14"/>
    <x v="8"/>
    <x v="2"/>
    <x v="3"/>
    <s v="SKU10533"/>
    <x v="4"/>
    <s v="M"/>
    <n v="4"/>
    <s v="INR"/>
    <n v="1830.45"/>
    <s v="Jaipur"/>
    <x v="2"/>
    <n v="302001"/>
    <s v="India"/>
    <s v="Yes"/>
  </r>
  <r>
    <n v="904"/>
    <s v="ORD202500904"/>
    <s v="CUST1177"/>
    <x v="0"/>
    <n v="23"/>
    <x v="1"/>
    <s v="2025-10-28"/>
    <x v="4"/>
    <x v="2"/>
    <x v="3"/>
    <s v="SKU63650"/>
    <x v="5"/>
    <s v="M"/>
    <n v="3"/>
    <s v="INR"/>
    <n v="4148.49"/>
    <s v="Mumbai"/>
    <x v="0"/>
    <n v="400001"/>
    <s v="India"/>
    <s v="No"/>
  </r>
  <r>
    <n v="905"/>
    <s v="ORD202500905"/>
    <s v="CUST6481"/>
    <x v="0"/>
    <n v="20"/>
    <x v="1"/>
    <s v="2025-12-22"/>
    <x v="1"/>
    <x v="2"/>
    <x v="3"/>
    <s v="SKU60235"/>
    <x v="3"/>
    <s v="L"/>
    <n v="2"/>
    <s v="INR"/>
    <n v="2199.38"/>
    <s v="Mumbai"/>
    <x v="0"/>
    <n v="400001"/>
    <s v="India"/>
    <s v="Yes"/>
  </r>
  <r>
    <n v="906"/>
    <s v="ORD202500906"/>
    <s v="CUST7298"/>
    <x v="0"/>
    <n v="21"/>
    <x v="1"/>
    <s v="2025-10-04"/>
    <x v="4"/>
    <x v="2"/>
    <x v="3"/>
    <s v="SKU76301"/>
    <x v="0"/>
    <s v="S"/>
    <n v="2"/>
    <s v="INR"/>
    <n v="2133.4699999999998"/>
    <s v="Bengaluru"/>
    <x v="1"/>
    <n v="560001"/>
    <s v="India"/>
    <s v="No"/>
  </r>
  <r>
    <n v="907"/>
    <s v="ORD202500907"/>
    <s v="CUST8886"/>
    <x v="0"/>
    <n v="31"/>
    <x v="2"/>
    <s v="2025-07-10"/>
    <x v="9"/>
    <x v="2"/>
    <x v="3"/>
    <s v="SKU70753"/>
    <x v="0"/>
    <s v="S"/>
    <n v="4"/>
    <s v="INR"/>
    <n v="1966"/>
    <s v="Delhi"/>
    <x v="3"/>
    <n v="110001"/>
    <s v="India"/>
    <s v="Yes"/>
  </r>
  <r>
    <n v="908"/>
    <s v="ORD202500908"/>
    <s v="CUST4991"/>
    <x v="0"/>
    <n v="42"/>
    <x v="2"/>
    <s v="2025-02-02"/>
    <x v="8"/>
    <x v="2"/>
    <x v="3"/>
    <s v="SKU63996"/>
    <x v="2"/>
    <s v="M"/>
    <n v="3"/>
    <s v="INR"/>
    <n v="1740.06"/>
    <s v="Lucknow"/>
    <x v="4"/>
    <n v="226001"/>
    <s v="India"/>
    <s v="Yes"/>
  </r>
  <r>
    <n v="909"/>
    <s v="ORD202500909"/>
    <s v="CUST6228"/>
    <x v="0"/>
    <n v="56"/>
    <x v="0"/>
    <s v="2025-11-07"/>
    <x v="6"/>
    <x v="2"/>
    <x v="2"/>
    <s v="SKU56738"/>
    <x v="4"/>
    <s v="S"/>
    <n v="5"/>
    <s v="INR"/>
    <n v="1133.26"/>
    <s v="Lucknow"/>
    <x v="4"/>
    <n v="226001"/>
    <s v="India"/>
    <s v="No"/>
  </r>
  <r>
    <n v="910"/>
    <s v="ORD202500910"/>
    <s v="CUST9686"/>
    <x v="0"/>
    <n v="37"/>
    <x v="2"/>
    <s v="2025-09-18"/>
    <x v="7"/>
    <x v="2"/>
    <x v="2"/>
    <s v="SKU88470"/>
    <x v="3"/>
    <s v="M"/>
    <n v="4"/>
    <s v="INR"/>
    <n v="1537.4"/>
    <s v="Bengaluru"/>
    <x v="1"/>
    <n v="560001"/>
    <s v="India"/>
    <s v="No"/>
  </r>
  <r>
    <n v="911"/>
    <s v="ORD202500911"/>
    <s v="CUST5022"/>
    <x v="0"/>
    <n v="37"/>
    <x v="2"/>
    <s v="2025-11-12"/>
    <x v="6"/>
    <x v="2"/>
    <x v="2"/>
    <s v="SKU28207"/>
    <x v="3"/>
    <s v="S"/>
    <n v="5"/>
    <s v="INR"/>
    <n v="2170.46"/>
    <s v="Jaipur"/>
    <x v="2"/>
    <n v="302001"/>
    <s v="India"/>
    <s v="Yes"/>
  </r>
  <r>
    <n v="912"/>
    <s v="ORD202500912"/>
    <s v="CUST3874"/>
    <x v="0"/>
    <n v="23"/>
    <x v="1"/>
    <s v="2025-10-26"/>
    <x v="4"/>
    <x v="2"/>
    <x v="2"/>
    <s v="SKU65340"/>
    <x v="2"/>
    <s v="L"/>
    <n v="3"/>
    <s v="INR"/>
    <n v="854.87"/>
    <s v="Delhi"/>
    <x v="3"/>
    <n v="110001"/>
    <s v="India"/>
    <s v="No"/>
  </r>
  <r>
    <n v="913"/>
    <s v="ORD202500913"/>
    <s v="CUST1077"/>
    <x v="0"/>
    <n v="60"/>
    <x v="0"/>
    <s v="2025-06-10"/>
    <x v="3"/>
    <x v="2"/>
    <x v="2"/>
    <s v="SKU82378"/>
    <x v="4"/>
    <s v="L"/>
    <n v="3"/>
    <s v="INR"/>
    <n v="3861.76"/>
    <s v="Bengaluru"/>
    <x v="1"/>
    <n v="560001"/>
    <s v="India"/>
    <s v="No"/>
  </r>
  <r>
    <n v="914"/>
    <s v="ORD202500914"/>
    <s v="CUST3557"/>
    <x v="0"/>
    <n v="48"/>
    <x v="2"/>
    <s v="2025-05-16"/>
    <x v="2"/>
    <x v="2"/>
    <x v="2"/>
    <s v="SKU62452"/>
    <x v="2"/>
    <s v="M"/>
    <n v="3"/>
    <s v="INR"/>
    <n v="3105.44"/>
    <s v="Jaipur"/>
    <x v="2"/>
    <n v="302001"/>
    <s v="India"/>
    <s v="No"/>
  </r>
  <r>
    <n v="915"/>
    <s v="ORD202500915"/>
    <s v="CUST1484"/>
    <x v="0"/>
    <n v="25"/>
    <x v="1"/>
    <s v="2025-04-09"/>
    <x v="11"/>
    <x v="2"/>
    <x v="2"/>
    <s v="SKU81149"/>
    <x v="3"/>
    <s v="M"/>
    <n v="1"/>
    <s v="INR"/>
    <n v="3899.4"/>
    <s v="Lucknow"/>
    <x v="4"/>
    <n v="226001"/>
    <s v="India"/>
    <s v="No"/>
  </r>
  <r>
    <n v="916"/>
    <s v="ORD202500916"/>
    <s v="CUST7100"/>
    <x v="0"/>
    <n v="24"/>
    <x v="1"/>
    <s v="2025-02-22"/>
    <x v="8"/>
    <x v="2"/>
    <x v="2"/>
    <s v="SKU69530"/>
    <x v="3"/>
    <s v="M"/>
    <n v="3"/>
    <s v="INR"/>
    <n v="3254.65"/>
    <s v="Lucknow"/>
    <x v="4"/>
    <n v="226001"/>
    <s v="India"/>
    <s v="No"/>
  </r>
  <r>
    <n v="917"/>
    <s v="ORD202500917"/>
    <s v="CUST3290"/>
    <x v="0"/>
    <n v="56"/>
    <x v="0"/>
    <s v="2025-03-20"/>
    <x v="0"/>
    <x v="2"/>
    <x v="2"/>
    <s v="SKU39305"/>
    <x v="1"/>
    <s v="S"/>
    <n v="4"/>
    <s v="INR"/>
    <n v="1929.99"/>
    <s v="Bengaluru"/>
    <x v="1"/>
    <n v="560001"/>
    <s v="India"/>
    <s v="No"/>
  </r>
  <r>
    <n v="918"/>
    <s v="ORD202500918"/>
    <s v="CUST8043"/>
    <x v="0"/>
    <n v="51"/>
    <x v="0"/>
    <s v="2025-12-09"/>
    <x v="1"/>
    <x v="2"/>
    <x v="2"/>
    <s v="SKU56908"/>
    <x v="4"/>
    <s v="S"/>
    <n v="2"/>
    <s v="INR"/>
    <n v="4823.67"/>
    <s v="Jaipur"/>
    <x v="2"/>
    <n v="302001"/>
    <s v="India"/>
    <s v="Yes"/>
  </r>
  <r>
    <n v="919"/>
    <s v="ORD202500919"/>
    <s v="CUST6653"/>
    <x v="0"/>
    <n v="44"/>
    <x v="2"/>
    <s v="2025-04-25"/>
    <x v="11"/>
    <x v="2"/>
    <x v="2"/>
    <s v="SKU65053"/>
    <x v="4"/>
    <s v="XL"/>
    <n v="1"/>
    <s v="INR"/>
    <n v="1243.54"/>
    <s v="Bengaluru"/>
    <x v="1"/>
    <n v="560001"/>
    <s v="India"/>
    <s v="No"/>
  </r>
  <r>
    <n v="920"/>
    <s v="ORD202500920"/>
    <s v="CUST2017"/>
    <x v="0"/>
    <n v="39"/>
    <x v="2"/>
    <s v="2025-12-17"/>
    <x v="1"/>
    <x v="2"/>
    <x v="3"/>
    <s v="SKU96245"/>
    <x v="2"/>
    <s v="M"/>
    <n v="4"/>
    <s v="INR"/>
    <n v="1143.5899999999999"/>
    <s v="Mumbai"/>
    <x v="0"/>
    <n v="400001"/>
    <s v="India"/>
    <s v="Yes"/>
  </r>
  <r>
    <n v="921"/>
    <s v="ORD202500921"/>
    <s v="CUST9724"/>
    <x v="0"/>
    <n v="54"/>
    <x v="0"/>
    <s v="2025-04-28"/>
    <x v="11"/>
    <x v="2"/>
    <x v="3"/>
    <s v="SKU44213"/>
    <x v="1"/>
    <s v="L"/>
    <n v="2"/>
    <s v="INR"/>
    <n v="3601.28"/>
    <s v="Jaipur"/>
    <x v="2"/>
    <n v="302001"/>
    <s v="India"/>
    <s v="Yes"/>
  </r>
  <r>
    <n v="922"/>
    <s v="ORD202500922"/>
    <s v="CUST6795"/>
    <x v="0"/>
    <n v="20"/>
    <x v="1"/>
    <s v="2025-02-24"/>
    <x v="8"/>
    <x v="2"/>
    <x v="3"/>
    <s v="SKU39543"/>
    <x v="0"/>
    <s v="S"/>
    <n v="2"/>
    <s v="INR"/>
    <n v="2631.64"/>
    <s v="Mumbai"/>
    <x v="0"/>
    <n v="400001"/>
    <s v="India"/>
    <s v="Yes"/>
  </r>
  <r>
    <n v="923"/>
    <s v="ORD202500923"/>
    <s v="CUST1008"/>
    <x v="0"/>
    <n v="51"/>
    <x v="0"/>
    <s v="2025-12-04"/>
    <x v="1"/>
    <x v="2"/>
    <x v="3"/>
    <s v="SKU27370"/>
    <x v="3"/>
    <s v="S"/>
    <n v="1"/>
    <s v="INR"/>
    <n v="4857.0600000000004"/>
    <s v="Bengaluru"/>
    <x v="1"/>
    <n v="560001"/>
    <s v="India"/>
    <s v="Yes"/>
  </r>
  <r>
    <n v="924"/>
    <s v="ORD202500924"/>
    <s v="CUST9867"/>
    <x v="0"/>
    <n v="42"/>
    <x v="2"/>
    <s v="2025-02-07"/>
    <x v="8"/>
    <x v="2"/>
    <x v="3"/>
    <s v="SKU93857"/>
    <x v="0"/>
    <s v="S"/>
    <n v="2"/>
    <s v="INR"/>
    <n v="2594.23"/>
    <s v="Delhi"/>
    <x v="3"/>
    <n v="110001"/>
    <s v="India"/>
    <s v="No"/>
  </r>
  <r>
    <n v="925"/>
    <s v="ORD202500925"/>
    <s v="CUST2839"/>
    <x v="0"/>
    <n v="30"/>
    <x v="2"/>
    <s v="2025-08-16"/>
    <x v="5"/>
    <x v="2"/>
    <x v="3"/>
    <s v="SKU21188"/>
    <x v="5"/>
    <s v="M"/>
    <n v="4"/>
    <s v="INR"/>
    <n v="1087.93"/>
    <s v="Bengaluru"/>
    <x v="1"/>
    <n v="560001"/>
    <s v="India"/>
    <s v="Yes"/>
  </r>
  <r>
    <n v="926"/>
    <s v="ORD202500926"/>
    <s v="CUST8143"/>
    <x v="0"/>
    <n v="23"/>
    <x v="1"/>
    <s v="2025-08-10"/>
    <x v="5"/>
    <x v="2"/>
    <x v="3"/>
    <s v="SKU89065"/>
    <x v="3"/>
    <s v="S"/>
    <n v="3"/>
    <s v="INR"/>
    <n v="1095.21"/>
    <s v="Bengaluru"/>
    <x v="1"/>
    <n v="560001"/>
    <s v="India"/>
    <s v="No"/>
  </r>
  <r>
    <n v="927"/>
    <s v="ORD202500927"/>
    <s v="CUST7791"/>
    <x v="0"/>
    <n v="28"/>
    <x v="1"/>
    <s v="2025-01-07"/>
    <x v="10"/>
    <x v="2"/>
    <x v="3"/>
    <s v="SKU62240"/>
    <x v="3"/>
    <s v="XL"/>
    <n v="1"/>
    <s v="INR"/>
    <n v="1036.5899999999999"/>
    <s v="Lucknow"/>
    <x v="4"/>
    <n v="226001"/>
    <s v="India"/>
    <s v="Yes"/>
  </r>
  <r>
    <n v="928"/>
    <s v="ORD202500928"/>
    <s v="CUST8564"/>
    <x v="0"/>
    <n v="40"/>
    <x v="2"/>
    <s v="2025-10-22"/>
    <x v="4"/>
    <x v="2"/>
    <x v="3"/>
    <s v="SKU17736"/>
    <x v="1"/>
    <s v="L"/>
    <n v="2"/>
    <s v="INR"/>
    <n v="2174.0300000000002"/>
    <s v="Delhi"/>
    <x v="3"/>
    <n v="110001"/>
    <s v="India"/>
    <s v="No"/>
  </r>
  <r>
    <n v="929"/>
    <s v="ORD202500929"/>
    <s v="CUST7004"/>
    <x v="0"/>
    <n v="37"/>
    <x v="2"/>
    <s v="2025-03-04"/>
    <x v="0"/>
    <x v="2"/>
    <x v="3"/>
    <s v="SKU86145"/>
    <x v="0"/>
    <s v="L"/>
    <n v="3"/>
    <s v="INR"/>
    <n v="780.35"/>
    <s v="Lucknow"/>
    <x v="4"/>
    <n v="226001"/>
    <s v="India"/>
    <s v="No"/>
  </r>
  <r>
    <n v="930"/>
    <s v="ORD202500930"/>
    <s v="CUST4441"/>
    <x v="0"/>
    <n v="48"/>
    <x v="2"/>
    <s v="2025-05-20"/>
    <x v="2"/>
    <x v="2"/>
    <x v="3"/>
    <s v="SKU97044"/>
    <x v="2"/>
    <s v="XL"/>
    <n v="5"/>
    <s v="INR"/>
    <n v="1169.6500000000001"/>
    <s v="Bengaluru"/>
    <x v="1"/>
    <n v="560001"/>
    <s v="India"/>
    <s v="No"/>
  </r>
  <r>
    <n v="931"/>
    <s v="ORD202500931"/>
    <s v="CUST9140"/>
    <x v="0"/>
    <n v="28"/>
    <x v="1"/>
    <s v="2025-11-19"/>
    <x v="6"/>
    <x v="2"/>
    <x v="3"/>
    <s v="SKU16397"/>
    <x v="4"/>
    <s v="L"/>
    <n v="5"/>
    <s v="INR"/>
    <n v="385.43"/>
    <s v="Lucknow"/>
    <x v="4"/>
    <n v="226001"/>
    <s v="India"/>
    <s v="Yes"/>
  </r>
  <r>
    <n v="932"/>
    <s v="ORD202500932"/>
    <s v="CUST4504"/>
    <x v="0"/>
    <n v="51"/>
    <x v="0"/>
    <s v="2025-07-19"/>
    <x v="9"/>
    <x v="2"/>
    <x v="3"/>
    <s v="SKU16906"/>
    <x v="5"/>
    <s v="S"/>
    <n v="5"/>
    <s v="INR"/>
    <n v="1437.71"/>
    <s v="Delhi"/>
    <x v="3"/>
    <n v="110001"/>
    <s v="India"/>
    <s v="Yes"/>
  </r>
  <r>
    <n v="933"/>
    <s v="ORD202500933"/>
    <s v="CUST6669"/>
    <x v="0"/>
    <n v="32"/>
    <x v="2"/>
    <s v="2025-03-07"/>
    <x v="0"/>
    <x v="2"/>
    <x v="3"/>
    <s v="SKU18589"/>
    <x v="5"/>
    <s v="M"/>
    <n v="2"/>
    <s v="INR"/>
    <n v="1971.39"/>
    <s v="Mumbai"/>
    <x v="0"/>
    <n v="400001"/>
    <s v="India"/>
    <s v="No"/>
  </r>
  <r>
    <n v="934"/>
    <s v="ORD202500934"/>
    <s v="CUST4136"/>
    <x v="0"/>
    <n v="25"/>
    <x v="1"/>
    <s v="2025-04-01"/>
    <x v="11"/>
    <x v="2"/>
    <x v="3"/>
    <s v="SKU86760"/>
    <x v="0"/>
    <s v="XL"/>
    <n v="3"/>
    <s v="INR"/>
    <n v="3517.36"/>
    <s v="Bengaluru"/>
    <x v="1"/>
    <n v="560001"/>
    <s v="India"/>
    <s v="Yes"/>
  </r>
  <r>
    <n v="935"/>
    <s v="ORD202500935"/>
    <s v="CUST5645"/>
    <x v="0"/>
    <n v="33"/>
    <x v="2"/>
    <s v="2025-02-23"/>
    <x v="8"/>
    <x v="2"/>
    <x v="3"/>
    <s v="SKU38759"/>
    <x v="3"/>
    <s v="L"/>
    <n v="1"/>
    <s v="INR"/>
    <n v="4523.46"/>
    <s v="Bengaluru"/>
    <x v="1"/>
    <n v="560001"/>
    <s v="India"/>
    <s v="Yes"/>
  </r>
  <r>
    <n v="936"/>
    <s v="ORD202500936"/>
    <s v="CUST2430"/>
    <x v="0"/>
    <n v="60"/>
    <x v="0"/>
    <s v="2025-02-04"/>
    <x v="8"/>
    <x v="2"/>
    <x v="3"/>
    <s v="SKU22001"/>
    <x v="1"/>
    <s v="L"/>
    <n v="2"/>
    <s v="INR"/>
    <n v="4159.38"/>
    <s v="Delhi"/>
    <x v="3"/>
    <n v="110001"/>
    <s v="India"/>
    <s v="No"/>
  </r>
  <r>
    <n v="937"/>
    <s v="ORD202500937"/>
    <s v="CUST6143"/>
    <x v="0"/>
    <n v="49"/>
    <x v="2"/>
    <s v="2025-01-29"/>
    <x v="10"/>
    <x v="2"/>
    <x v="3"/>
    <s v="SKU76012"/>
    <x v="4"/>
    <s v="S"/>
    <n v="2"/>
    <s v="INR"/>
    <n v="4901.38"/>
    <s v="Jaipur"/>
    <x v="2"/>
    <n v="302001"/>
    <s v="India"/>
    <s v="No"/>
  </r>
  <r>
    <n v="938"/>
    <s v="ORD202500938"/>
    <s v="CUST5612"/>
    <x v="0"/>
    <n v="32"/>
    <x v="2"/>
    <s v="2025-03-26"/>
    <x v="0"/>
    <x v="2"/>
    <x v="3"/>
    <s v="SKU59964"/>
    <x v="2"/>
    <s v="L"/>
    <n v="4"/>
    <s v="INR"/>
    <n v="409.48"/>
    <s v="Mumbai"/>
    <x v="0"/>
    <n v="400001"/>
    <s v="India"/>
    <s v="Yes"/>
  </r>
  <r>
    <n v="939"/>
    <s v="ORD202500939"/>
    <s v="CUST8046"/>
    <x v="0"/>
    <n v="57"/>
    <x v="0"/>
    <s v="2025-03-26"/>
    <x v="0"/>
    <x v="2"/>
    <x v="3"/>
    <s v="SKU99943"/>
    <x v="4"/>
    <s v="M"/>
    <n v="5"/>
    <s v="INR"/>
    <n v="2500.71"/>
    <s v="Mumbai"/>
    <x v="0"/>
    <n v="400001"/>
    <s v="India"/>
    <s v="Yes"/>
  </r>
  <r>
    <n v="940"/>
    <s v="ORD202500940"/>
    <s v="CUST5868"/>
    <x v="0"/>
    <n v="56"/>
    <x v="0"/>
    <s v="2025-05-21"/>
    <x v="2"/>
    <x v="2"/>
    <x v="3"/>
    <s v="SKU48188"/>
    <x v="2"/>
    <s v="M"/>
    <n v="4"/>
    <s v="INR"/>
    <n v="2310.04"/>
    <s v="Mumbai"/>
    <x v="0"/>
    <n v="400001"/>
    <s v="India"/>
    <s v="No"/>
  </r>
  <r>
    <n v="941"/>
    <s v="ORD202500941"/>
    <s v="CUST2143"/>
    <x v="0"/>
    <n v="44"/>
    <x v="2"/>
    <s v="2025-04-30"/>
    <x v="11"/>
    <x v="2"/>
    <x v="3"/>
    <s v="SKU82973"/>
    <x v="3"/>
    <s v="L"/>
    <n v="1"/>
    <s v="INR"/>
    <n v="3365.14"/>
    <s v="Bengaluru"/>
    <x v="1"/>
    <n v="560001"/>
    <s v="India"/>
    <s v="Yes"/>
  </r>
  <r>
    <n v="942"/>
    <s v="ORD202500942"/>
    <s v="CUST4472"/>
    <x v="0"/>
    <n v="37"/>
    <x v="2"/>
    <s v="2025-03-30"/>
    <x v="0"/>
    <x v="2"/>
    <x v="3"/>
    <s v="SKU18625"/>
    <x v="0"/>
    <s v="S"/>
    <n v="1"/>
    <s v="INR"/>
    <n v="3555.28"/>
    <s v="Delhi"/>
    <x v="3"/>
    <n v="110001"/>
    <s v="India"/>
    <s v="Yes"/>
  </r>
  <r>
    <n v="943"/>
    <s v="ORD202500943"/>
    <s v="CUST6406"/>
    <x v="0"/>
    <n v="20"/>
    <x v="1"/>
    <s v="2025-01-24"/>
    <x v="10"/>
    <x v="2"/>
    <x v="3"/>
    <s v="SKU20388"/>
    <x v="5"/>
    <s v="XL"/>
    <n v="1"/>
    <s v="INR"/>
    <n v="3429.8"/>
    <s v="Jaipur"/>
    <x v="2"/>
    <n v="302001"/>
    <s v="India"/>
    <s v="Yes"/>
  </r>
  <r>
    <n v="944"/>
    <s v="ORD202500944"/>
    <s v="CUST1526"/>
    <x v="0"/>
    <n v="57"/>
    <x v="0"/>
    <s v="2025-12-14"/>
    <x v="1"/>
    <x v="2"/>
    <x v="3"/>
    <s v="SKU27485"/>
    <x v="0"/>
    <s v="M"/>
    <n v="2"/>
    <s v="INR"/>
    <n v="3329.48"/>
    <s v="Delhi"/>
    <x v="3"/>
    <n v="110001"/>
    <s v="India"/>
    <s v="No"/>
  </r>
  <r>
    <n v="945"/>
    <s v="ORD202500945"/>
    <s v="CUST3529"/>
    <x v="0"/>
    <n v="53"/>
    <x v="0"/>
    <s v="2025-10-07"/>
    <x v="4"/>
    <x v="2"/>
    <x v="3"/>
    <s v="SKU52355"/>
    <x v="5"/>
    <s v="XL"/>
    <n v="5"/>
    <s v="INR"/>
    <n v="1795.77"/>
    <s v="Delhi"/>
    <x v="3"/>
    <n v="110001"/>
    <s v="India"/>
    <s v="No"/>
  </r>
  <r>
    <n v="946"/>
    <s v="ORD202500946"/>
    <s v="CUST1895"/>
    <x v="0"/>
    <n v="31"/>
    <x v="2"/>
    <s v="2025-12-20"/>
    <x v="1"/>
    <x v="2"/>
    <x v="3"/>
    <s v="SKU98855"/>
    <x v="2"/>
    <s v="M"/>
    <n v="1"/>
    <s v="INR"/>
    <n v="788.81"/>
    <s v="Lucknow"/>
    <x v="4"/>
    <n v="226001"/>
    <s v="India"/>
    <s v="Yes"/>
  </r>
  <r>
    <n v="947"/>
    <s v="ORD202500947"/>
    <s v="CUST8924"/>
    <x v="0"/>
    <n v="59"/>
    <x v="0"/>
    <s v="2025-09-25"/>
    <x v="7"/>
    <x v="2"/>
    <x v="3"/>
    <s v="SKU30179"/>
    <x v="3"/>
    <s v="M"/>
    <n v="3"/>
    <s v="INR"/>
    <n v="700.51"/>
    <s v="Bengaluru"/>
    <x v="1"/>
    <n v="560001"/>
    <s v="India"/>
    <s v="No"/>
  </r>
  <r>
    <n v="948"/>
    <s v="ORD202500948"/>
    <s v="CUST6562"/>
    <x v="0"/>
    <n v="34"/>
    <x v="2"/>
    <s v="2025-01-06"/>
    <x v="10"/>
    <x v="2"/>
    <x v="3"/>
    <s v="SKU66479"/>
    <x v="4"/>
    <s v="XL"/>
    <n v="5"/>
    <s v="INR"/>
    <n v="2310.5700000000002"/>
    <s v="Mumbai"/>
    <x v="0"/>
    <n v="400001"/>
    <s v="India"/>
    <s v="Yes"/>
  </r>
  <r>
    <n v="949"/>
    <s v="ORD202500949"/>
    <s v="CUST4032"/>
    <x v="0"/>
    <n v="25"/>
    <x v="1"/>
    <s v="2025-05-14"/>
    <x v="2"/>
    <x v="2"/>
    <x v="3"/>
    <s v="SKU14681"/>
    <x v="5"/>
    <s v="M"/>
    <n v="4"/>
    <s v="INR"/>
    <n v="2625.16"/>
    <s v="Lucknow"/>
    <x v="4"/>
    <n v="226001"/>
    <s v="India"/>
    <s v="Yes"/>
  </r>
  <r>
    <n v="950"/>
    <s v="ORD202500950"/>
    <s v="CUST8808"/>
    <x v="0"/>
    <n v="32"/>
    <x v="2"/>
    <s v="2025-03-09"/>
    <x v="0"/>
    <x v="2"/>
    <x v="3"/>
    <s v="SKU53026"/>
    <x v="2"/>
    <s v="M"/>
    <n v="2"/>
    <s v="INR"/>
    <n v="4419.7"/>
    <s v="Bengaluru"/>
    <x v="1"/>
    <n v="560001"/>
    <s v="India"/>
    <s v="Yes"/>
  </r>
  <r>
    <n v="951"/>
    <s v="ORD202500951"/>
    <s v="CUST7637"/>
    <x v="0"/>
    <n v="21"/>
    <x v="1"/>
    <s v="2025-10-20"/>
    <x v="4"/>
    <x v="2"/>
    <x v="3"/>
    <s v="SKU48068"/>
    <x v="0"/>
    <s v="XL"/>
    <n v="3"/>
    <s v="INR"/>
    <n v="4834.41"/>
    <s v="Mumbai"/>
    <x v="0"/>
    <n v="400001"/>
    <s v="India"/>
    <s v="Yes"/>
  </r>
  <r>
    <n v="952"/>
    <s v="ORD202500952"/>
    <s v="CUST9919"/>
    <x v="0"/>
    <n v="33"/>
    <x v="2"/>
    <s v="2025-05-20"/>
    <x v="2"/>
    <x v="2"/>
    <x v="3"/>
    <s v="SKU42737"/>
    <x v="0"/>
    <s v="XL"/>
    <n v="3"/>
    <s v="INR"/>
    <n v="2537.2399999999998"/>
    <s v="Delhi"/>
    <x v="3"/>
    <n v="110001"/>
    <s v="India"/>
    <s v="No"/>
  </r>
  <r>
    <n v="953"/>
    <s v="ORD202500953"/>
    <s v="CUST7076"/>
    <x v="0"/>
    <n v="56"/>
    <x v="0"/>
    <s v="2025-09-17"/>
    <x v="7"/>
    <x v="2"/>
    <x v="3"/>
    <s v="SKU53382"/>
    <x v="5"/>
    <s v="XL"/>
    <n v="2"/>
    <s v="INR"/>
    <n v="4326.1099999999997"/>
    <s v="Jaipur"/>
    <x v="2"/>
    <n v="302001"/>
    <s v="India"/>
    <s v="Yes"/>
  </r>
  <r>
    <n v="954"/>
    <s v="ORD202500954"/>
    <s v="CUST6815"/>
    <x v="0"/>
    <n v="51"/>
    <x v="0"/>
    <s v="2025-11-26"/>
    <x v="6"/>
    <x v="3"/>
    <x v="3"/>
    <s v="SKU13266"/>
    <x v="5"/>
    <s v="S"/>
    <n v="3"/>
    <s v="INR"/>
    <n v="3261.92"/>
    <s v="Delhi"/>
    <x v="3"/>
    <n v="110001"/>
    <s v="India"/>
    <s v="Yes"/>
  </r>
  <r>
    <n v="955"/>
    <s v="ORD202500955"/>
    <s v="CUST8278"/>
    <x v="0"/>
    <n v="51"/>
    <x v="0"/>
    <s v="2025-09-17"/>
    <x v="7"/>
    <x v="1"/>
    <x v="3"/>
    <s v="SKU41399"/>
    <x v="2"/>
    <s v="M"/>
    <n v="5"/>
    <s v="INR"/>
    <n v="2680.3"/>
    <s v="Delhi"/>
    <x v="3"/>
    <n v="110001"/>
    <s v="India"/>
    <s v="No"/>
  </r>
  <r>
    <n v="956"/>
    <s v="ORD202500956"/>
    <s v="CUST5386"/>
    <x v="0"/>
    <n v="19"/>
    <x v="1"/>
    <s v="2025-10-25"/>
    <x v="4"/>
    <x v="3"/>
    <x v="3"/>
    <s v="SKU93746"/>
    <x v="4"/>
    <s v="L"/>
    <n v="5"/>
    <s v="INR"/>
    <n v="2117.4299999999998"/>
    <s v="Bengaluru"/>
    <x v="1"/>
    <n v="560001"/>
    <s v="India"/>
    <s v="No"/>
  </r>
  <r>
    <n v="957"/>
    <s v="ORD202500957"/>
    <s v="CUST7514"/>
    <x v="0"/>
    <n v="55"/>
    <x v="0"/>
    <s v="2025-10-30"/>
    <x v="4"/>
    <x v="2"/>
    <x v="3"/>
    <s v="SKU43770"/>
    <x v="0"/>
    <s v="M"/>
    <n v="2"/>
    <s v="INR"/>
    <n v="1175.29"/>
    <s v="Lucknow"/>
    <x v="4"/>
    <n v="226001"/>
    <s v="India"/>
    <s v="Yes"/>
  </r>
  <r>
    <n v="958"/>
    <s v="ORD202500958"/>
    <s v="CUST5912"/>
    <x v="0"/>
    <n v="46"/>
    <x v="2"/>
    <s v="2025-01-30"/>
    <x v="10"/>
    <x v="3"/>
    <x v="3"/>
    <s v="SKU86289"/>
    <x v="3"/>
    <s v="XL"/>
    <n v="3"/>
    <s v="INR"/>
    <n v="348.38"/>
    <s v="Delhi"/>
    <x v="3"/>
    <n v="110001"/>
    <s v="India"/>
    <s v="Yes"/>
  </r>
  <r>
    <n v="959"/>
    <s v="ORD202500959"/>
    <s v="CUST3823"/>
    <x v="0"/>
    <n v="50"/>
    <x v="0"/>
    <s v="2025-05-21"/>
    <x v="2"/>
    <x v="2"/>
    <x v="3"/>
    <s v="SKU49535"/>
    <x v="4"/>
    <s v="L"/>
    <n v="3"/>
    <s v="INR"/>
    <n v="2859.15"/>
    <s v="Delhi"/>
    <x v="3"/>
    <n v="110001"/>
    <s v="India"/>
    <s v="No"/>
  </r>
  <r>
    <n v="960"/>
    <s v="ORD202500960"/>
    <s v="CUST5489"/>
    <x v="0"/>
    <n v="57"/>
    <x v="0"/>
    <s v="2025-11-21"/>
    <x v="6"/>
    <x v="2"/>
    <x v="3"/>
    <s v="SKU16739"/>
    <x v="5"/>
    <s v="M"/>
    <n v="1"/>
    <s v="INR"/>
    <n v="4187.16"/>
    <s v="Lucknow"/>
    <x v="4"/>
    <n v="226001"/>
    <s v="India"/>
    <s v="No"/>
  </r>
  <r>
    <n v="961"/>
    <s v="ORD202500961"/>
    <s v="CUST9573"/>
    <x v="0"/>
    <n v="47"/>
    <x v="2"/>
    <s v="2025-03-11"/>
    <x v="0"/>
    <x v="3"/>
    <x v="3"/>
    <s v="SKU83127"/>
    <x v="0"/>
    <s v="S"/>
    <n v="3"/>
    <s v="INR"/>
    <n v="2486.31"/>
    <s v="Delhi"/>
    <x v="3"/>
    <n v="110001"/>
    <s v="India"/>
    <s v="No"/>
  </r>
  <r>
    <n v="962"/>
    <s v="ORD202500962"/>
    <s v="CUST1800"/>
    <x v="0"/>
    <n v="42"/>
    <x v="2"/>
    <s v="2025-04-27"/>
    <x v="11"/>
    <x v="0"/>
    <x v="1"/>
    <s v="SKU41663"/>
    <x v="5"/>
    <s v="L"/>
    <n v="4"/>
    <s v="INR"/>
    <n v="3601.08"/>
    <s v="Jaipur"/>
    <x v="2"/>
    <n v="302001"/>
    <s v="India"/>
    <s v="No"/>
  </r>
  <r>
    <n v="963"/>
    <s v="ORD202500963"/>
    <s v="CUST7346"/>
    <x v="0"/>
    <n v="49"/>
    <x v="2"/>
    <s v="2025-11-15"/>
    <x v="6"/>
    <x v="0"/>
    <x v="1"/>
    <s v="SKU54465"/>
    <x v="0"/>
    <s v="S"/>
    <n v="4"/>
    <s v="INR"/>
    <n v="3995.84"/>
    <s v="Lucknow"/>
    <x v="4"/>
    <n v="226001"/>
    <s v="India"/>
    <s v="Yes"/>
  </r>
  <r>
    <n v="964"/>
    <s v="ORD202500964"/>
    <s v="CUST3505"/>
    <x v="0"/>
    <n v="36"/>
    <x v="2"/>
    <s v="2025-11-12"/>
    <x v="6"/>
    <x v="2"/>
    <x v="1"/>
    <s v="SKU13921"/>
    <x v="4"/>
    <s v="L"/>
    <n v="3"/>
    <s v="INR"/>
    <n v="1843.61"/>
    <s v="Lucknow"/>
    <x v="4"/>
    <n v="226001"/>
    <s v="India"/>
    <s v="No"/>
  </r>
  <r>
    <n v="965"/>
    <s v="ORD202500965"/>
    <s v="CUST1385"/>
    <x v="0"/>
    <n v="28"/>
    <x v="1"/>
    <s v="2025-09-02"/>
    <x v="7"/>
    <x v="2"/>
    <x v="1"/>
    <s v="SKU21655"/>
    <x v="2"/>
    <s v="XL"/>
    <n v="5"/>
    <s v="INR"/>
    <n v="1983.37"/>
    <s v="Mumbai"/>
    <x v="0"/>
    <n v="400001"/>
    <s v="India"/>
    <s v="Yes"/>
  </r>
  <r>
    <n v="966"/>
    <s v="ORD202500966"/>
    <s v="CUST5924"/>
    <x v="0"/>
    <n v="58"/>
    <x v="0"/>
    <s v="2025-07-27"/>
    <x v="9"/>
    <x v="3"/>
    <x v="1"/>
    <s v="SKU73392"/>
    <x v="2"/>
    <s v="M"/>
    <n v="1"/>
    <s v="INR"/>
    <n v="4236.82"/>
    <s v="Jaipur"/>
    <x v="2"/>
    <n v="302001"/>
    <s v="India"/>
    <s v="No"/>
  </r>
  <r>
    <n v="967"/>
    <s v="ORD202500967"/>
    <s v="CUST9525"/>
    <x v="0"/>
    <n v="52"/>
    <x v="0"/>
    <s v="2025-06-04"/>
    <x v="3"/>
    <x v="1"/>
    <x v="1"/>
    <s v="SKU19333"/>
    <x v="3"/>
    <s v="L"/>
    <n v="3"/>
    <s v="INR"/>
    <n v="2164.85"/>
    <s v="Jaipur"/>
    <x v="2"/>
    <n v="302001"/>
    <s v="India"/>
    <s v="Yes"/>
  </r>
  <r>
    <n v="968"/>
    <s v="ORD202500968"/>
    <s v="CUST4026"/>
    <x v="0"/>
    <n v="19"/>
    <x v="1"/>
    <s v="2025-11-23"/>
    <x v="6"/>
    <x v="0"/>
    <x v="1"/>
    <s v="SKU52949"/>
    <x v="5"/>
    <s v="XL"/>
    <n v="5"/>
    <s v="INR"/>
    <n v="4266.1000000000004"/>
    <s v="Mumbai"/>
    <x v="0"/>
    <n v="400001"/>
    <s v="India"/>
    <s v="Yes"/>
  </r>
  <r>
    <n v="969"/>
    <s v="ORD202500969"/>
    <s v="CUST7295"/>
    <x v="0"/>
    <n v="20"/>
    <x v="1"/>
    <s v="2025-09-07"/>
    <x v="7"/>
    <x v="3"/>
    <x v="1"/>
    <s v="SKU64512"/>
    <x v="5"/>
    <s v="M"/>
    <n v="5"/>
    <s v="INR"/>
    <n v="3226.91"/>
    <s v="Jaipur"/>
    <x v="2"/>
    <n v="302001"/>
    <s v="India"/>
    <s v="Yes"/>
  </r>
  <r>
    <n v="970"/>
    <s v="ORD202500970"/>
    <s v="CUST8581"/>
    <x v="0"/>
    <n v="29"/>
    <x v="1"/>
    <s v="2025-09-14"/>
    <x v="7"/>
    <x v="1"/>
    <x v="1"/>
    <s v="SKU81851"/>
    <x v="3"/>
    <s v="L"/>
    <n v="4"/>
    <s v="INR"/>
    <n v="3817.87"/>
    <s v="Jaipur"/>
    <x v="2"/>
    <n v="302001"/>
    <s v="India"/>
    <s v="No"/>
  </r>
  <r>
    <n v="971"/>
    <s v="ORD202500971"/>
    <s v="CUST2128"/>
    <x v="0"/>
    <n v="41"/>
    <x v="2"/>
    <s v="2025-01-03"/>
    <x v="10"/>
    <x v="2"/>
    <x v="1"/>
    <s v="SKU87247"/>
    <x v="4"/>
    <s v="L"/>
    <n v="4"/>
    <s v="INR"/>
    <n v="4279.03"/>
    <s v="Jaipur"/>
    <x v="2"/>
    <n v="302001"/>
    <s v="India"/>
    <s v="No"/>
  </r>
  <r>
    <n v="972"/>
    <s v="ORD202500972"/>
    <s v="CUST8612"/>
    <x v="0"/>
    <n v="22"/>
    <x v="1"/>
    <s v="2025-01-14"/>
    <x v="10"/>
    <x v="2"/>
    <x v="1"/>
    <s v="SKU38811"/>
    <x v="5"/>
    <s v="S"/>
    <n v="4"/>
    <s v="INR"/>
    <n v="424.2"/>
    <s v="Delhi"/>
    <x v="3"/>
    <n v="110001"/>
    <s v="India"/>
    <s v="No"/>
  </r>
  <r>
    <n v="973"/>
    <s v="ORD202500973"/>
    <s v="CUST5431"/>
    <x v="0"/>
    <n v="47"/>
    <x v="2"/>
    <s v="2025-07-30"/>
    <x v="9"/>
    <x v="2"/>
    <x v="1"/>
    <s v="SKU61856"/>
    <x v="1"/>
    <s v="XL"/>
    <n v="4"/>
    <s v="INR"/>
    <n v="1319.93"/>
    <s v="Mumbai"/>
    <x v="0"/>
    <n v="400001"/>
    <s v="India"/>
    <s v="No"/>
  </r>
  <r>
    <n v="974"/>
    <s v="ORD202500974"/>
    <s v="CUST8126"/>
    <x v="0"/>
    <n v="44"/>
    <x v="2"/>
    <s v="2025-08-20"/>
    <x v="5"/>
    <x v="3"/>
    <x v="3"/>
    <s v="SKU94039"/>
    <x v="0"/>
    <s v="S"/>
    <n v="1"/>
    <s v="INR"/>
    <n v="2941.16"/>
    <s v="Lucknow"/>
    <x v="4"/>
    <n v="226001"/>
    <s v="India"/>
    <s v="No"/>
  </r>
  <r>
    <n v="975"/>
    <s v="ORD202500975"/>
    <s v="CUST1929"/>
    <x v="0"/>
    <n v="50"/>
    <x v="0"/>
    <s v="2025-09-30"/>
    <x v="7"/>
    <x v="2"/>
    <x v="3"/>
    <s v="SKU22459"/>
    <x v="4"/>
    <s v="M"/>
    <n v="5"/>
    <s v="INR"/>
    <n v="3784.16"/>
    <s v="Jaipur"/>
    <x v="2"/>
    <n v="302001"/>
    <s v="India"/>
    <s v="Yes"/>
  </r>
  <r>
    <n v="976"/>
    <s v="ORD202500976"/>
    <s v="CUST2072"/>
    <x v="0"/>
    <n v="51"/>
    <x v="0"/>
    <s v="2025-06-20"/>
    <x v="3"/>
    <x v="3"/>
    <x v="3"/>
    <s v="SKU79701"/>
    <x v="1"/>
    <s v="L"/>
    <n v="3"/>
    <s v="INR"/>
    <n v="2779.9"/>
    <s v="Jaipur"/>
    <x v="2"/>
    <n v="302001"/>
    <s v="India"/>
    <s v="Yes"/>
  </r>
  <r>
    <n v="977"/>
    <s v="ORD202500977"/>
    <s v="CUST5573"/>
    <x v="0"/>
    <n v="53"/>
    <x v="0"/>
    <s v="2025-04-11"/>
    <x v="11"/>
    <x v="2"/>
    <x v="3"/>
    <s v="SKU48560"/>
    <x v="1"/>
    <s v="S"/>
    <n v="5"/>
    <s v="INR"/>
    <n v="3989.57"/>
    <s v="Delhi"/>
    <x v="3"/>
    <n v="110001"/>
    <s v="India"/>
    <s v="No"/>
  </r>
  <r>
    <n v="978"/>
    <s v="ORD202500978"/>
    <s v="CUST1430"/>
    <x v="0"/>
    <n v="53"/>
    <x v="0"/>
    <s v="2025-05-14"/>
    <x v="2"/>
    <x v="3"/>
    <x v="3"/>
    <s v="SKU99721"/>
    <x v="5"/>
    <s v="S"/>
    <n v="3"/>
    <s v="INR"/>
    <n v="2712.13"/>
    <s v="Mumbai"/>
    <x v="0"/>
    <n v="400001"/>
    <s v="India"/>
    <s v="Yes"/>
  </r>
  <r>
    <n v="979"/>
    <s v="ORD202500979"/>
    <s v="CUST8896"/>
    <x v="0"/>
    <n v="48"/>
    <x v="2"/>
    <s v="2025-07-04"/>
    <x v="9"/>
    <x v="2"/>
    <x v="3"/>
    <s v="SKU36849"/>
    <x v="0"/>
    <s v="M"/>
    <n v="2"/>
    <s v="INR"/>
    <n v="861.05"/>
    <s v="Jaipur"/>
    <x v="2"/>
    <n v="302001"/>
    <s v="India"/>
    <s v="No"/>
  </r>
  <r>
    <n v="980"/>
    <s v="ORD202500980"/>
    <s v="CUST4238"/>
    <x v="0"/>
    <n v="20"/>
    <x v="1"/>
    <s v="2025-02-20"/>
    <x v="8"/>
    <x v="3"/>
    <x v="3"/>
    <s v="SKU15036"/>
    <x v="1"/>
    <s v="S"/>
    <n v="2"/>
    <s v="INR"/>
    <n v="3555.09"/>
    <s v="Jaipur"/>
    <x v="2"/>
    <n v="302001"/>
    <s v="India"/>
    <s v="No"/>
  </r>
  <r>
    <n v="981"/>
    <s v="ORD202500981"/>
    <s v="CUST4090"/>
    <x v="0"/>
    <n v="50"/>
    <x v="0"/>
    <s v="2025-11-17"/>
    <x v="6"/>
    <x v="2"/>
    <x v="3"/>
    <s v="SKU35066"/>
    <x v="1"/>
    <s v="M"/>
    <n v="1"/>
    <s v="INR"/>
    <n v="3859.92"/>
    <s v="Mumbai"/>
    <x v="0"/>
    <n v="400001"/>
    <s v="India"/>
    <s v="No"/>
  </r>
  <r>
    <n v="982"/>
    <s v="ORD202500982"/>
    <s v="CUST2179"/>
    <x v="0"/>
    <n v="29"/>
    <x v="1"/>
    <s v="2025-05-12"/>
    <x v="2"/>
    <x v="1"/>
    <x v="3"/>
    <s v="SKU15256"/>
    <x v="2"/>
    <s v="XL"/>
    <n v="4"/>
    <s v="INR"/>
    <n v="741.05"/>
    <s v="Bengaluru"/>
    <x v="1"/>
    <n v="560001"/>
    <s v="India"/>
    <s v="No"/>
  </r>
  <r>
    <n v="983"/>
    <s v="ORD202500983"/>
    <s v="CUST3809"/>
    <x v="0"/>
    <n v="49"/>
    <x v="2"/>
    <s v="2025-10-03"/>
    <x v="4"/>
    <x v="3"/>
    <x v="3"/>
    <s v="SKU24866"/>
    <x v="2"/>
    <s v="M"/>
    <n v="1"/>
    <s v="INR"/>
    <n v="417.55"/>
    <s v="Delhi"/>
    <x v="3"/>
    <n v="110001"/>
    <s v="India"/>
    <s v="Yes"/>
  </r>
  <r>
    <n v="984"/>
    <s v="ORD202500984"/>
    <s v="CUST2220"/>
    <x v="0"/>
    <n v="56"/>
    <x v="0"/>
    <s v="2025-12-22"/>
    <x v="1"/>
    <x v="3"/>
    <x v="5"/>
    <s v="SKU62865"/>
    <x v="1"/>
    <s v="L"/>
    <n v="4"/>
    <s v="INR"/>
    <n v="3744.14"/>
    <s v="Jaipur"/>
    <x v="2"/>
    <n v="302001"/>
    <s v="India"/>
    <s v="No"/>
  </r>
  <r>
    <n v="985"/>
    <s v="ORD202500985"/>
    <s v="CUST2781"/>
    <x v="0"/>
    <n v="49"/>
    <x v="2"/>
    <s v="2025-12-18"/>
    <x v="1"/>
    <x v="0"/>
    <x v="5"/>
    <s v="SKU97856"/>
    <x v="3"/>
    <s v="XL"/>
    <n v="1"/>
    <s v="INR"/>
    <n v="1880.22"/>
    <s v="Bengaluru"/>
    <x v="1"/>
    <n v="560001"/>
    <s v="India"/>
    <s v="No"/>
  </r>
  <r>
    <n v="986"/>
    <s v="ORD202500986"/>
    <s v="CUST7778"/>
    <x v="0"/>
    <n v="21"/>
    <x v="1"/>
    <s v="2025-02-01"/>
    <x v="8"/>
    <x v="2"/>
    <x v="5"/>
    <s v="SKU84023"/>
    <x v="5"/>
    <s v="XL"/>
    <n v="1"/>
    <s v="INR"/>
    <n v="3594.32"/>
    <s v="Jaipur"/>
    <x v="2"/>
    <n v="302001"/>
    <s v="India"/>
    <s v="Yes"/>
  </r>
  <r>
    <n v="987"/>
    <s v="ORD202500987"/>
    <s v="CUST1093"/>
    <x v="0"/>
    <n v="42"/>
    <x v="2"/>
    <s v="2025-01-24"/>
    <x v="10"/>
    <x v="3"/>
    <x v="5"/>
    <s v="SKU25108"/>
    <x v="0"/>
    <s v="M"/>
    <n v="5"/>
    <s v="INR"/>
    <n v="4536.82"/>
    <s v="Lucknow"/>
    <x v="4"/>
    <n v="226001"/>
    <s v="India"/>
    <s v="Yes"/>
  </r>
  <r>
    <n v="988"/>
    <s v="ORD202500988"/>
    <s v="CUST7462"/>
    <x v="0"/>
    <n v="38"/>
    <x v="2"/>
    <s v="2025-09-12"/>
    <x v="7"/>
    <x v="0"/>
    <x v="5"/>
    <s v="SKU69452"/>
    <x v="5"/>
    <s v="S"/>
    <n v="5"/>
    <s v="INR"/>
    <n v="959.14"/>
    <s v="Bengaluru"/>
    <x v="1"/>
    <n v="560001"/>
    <s v="India"/>
    <s v="No"/>
  </r>
  <r>
    <n v="989"/>
    <s v="ORD202500989"/>
    <s v="CUST1843"/>
    <x v="1"/>
    <n v="47"/>
    <x v="2"/>
    <s v="2025-10-23"/>
    <x v="4"/>
    <x v="1"/>
    <x v="5"/>
    <s v="SKU31710"/>
    <x v="5"/>
    <s v="S"/>
    <n v="2"/>
    <s v="INR"/>
    <n v="331.22"/>
    <s v="Mumbai"/>
    <x v="0"/>
    <n v="400001"/>
    <s v="India"/>
    <s v="No"/>
  </r>
  <r>
    <n v="990"/>
    <s v="ORD202500990"/>
    <s v="CUST6177"/>
    <x v="0"/>
    <n v="46"/>
    <x v="2"/>
    <s v="2025-08-22"/>
    <x v="5"/>
    <x v="1"/>
    <x v="5"/>
    <s v="SKU29435"/>
    <x v="5"/>
    <s v="XL"/>
    <n v="4"/>
    <s v="INR"/>
    <n v="1869.42"/>
    <s v="Delhi"/>
    <x v="3"/>
    <n v="110001"/>
    <s v="India"/>
    <s v="Yes"/>
  </r>
  <r>
    <n v="991"/>
    <s v="ORD202500991"/>
    <s v="CUST6062"/>
    <x v="0"/>
    <n v="28"/>
    <x v="1"/>
    <s v="2025-09-20"/>
    <x v="7"/>
    <x v="3"/>
    <x v="5"/>
    <s v="SKU41889"/>
    <x v="3"/>
    <s v="S"/>
    <n v="5"/>
    <s v="INR"/>
    <n v="3513.56"/>
    <s v="Delhi"/>
    <x v="3"/>
    <n v="110001"/>
    <s v="India"/>
    <s v="No"/>
  </r>
  <r>
    <n v="992"/>
    <s v="ORD202500992"/>
    <s v="CUST7522"/>
    <x v="1"/>
    <n v="56"/>
    <x v="0"/>
    <s v="2025-05-27"/>
    <x v="2"/>
    <x v="2"/>
    <x v="5"/>
    <s v="SKU35019"/>
    <x v="0"/>
    <s v="S"/>
    <n v="3"/>
    <s v="INR"/>
    <n v="1293.96"/>
    <s v="Mumbai"/>
    <x v="0"/>
    <n v="400001"/>
    <s v="India"/>
    <s v="No"/>
  </r>
  <r>
    <n v="993"/>
    <s v="ORD202500993"/>
    <s v="CUST7035"/>
    <x v="1"/>
    <n v="33"/>
    <x v="2"/>
    <s v="2025-12-27"/>
    <x v="1"/>
    <x v="0"/>
    <x v="5"/>
    <s v="SKU87106"/>
    <x v="4"/>
    <s v="M"/>
    <n v="4"/>
    <s v="INR"/>
    <n v="3201.24"/>
    <s v="Lucknow"/>
    <x v="4"/>
    <n v="226001"/>
    <s v="India"/>
    <s v="No"/>
  </r>
  <r>
    <n v="994"/>
    <s v="ORD202500994"/>
    <s v="CUST9116"/>
    <x v="1"/>
    <n v="36"/>
    <x v="2"/>
    <s v="2025-11-27"/>
    <x v="6"/>
    <x v="0"/>
    <x v="5"/>
    <s v="SKU21537"/>
    <x v="2"/>
    <s v="M"/>
    <n v="3"/>
    <s v="INR"/>
    <n v="2852.22"/>
    <s v="Mumbai"/>
    <x v="0"/>
    <n v="400001"/>
    <s v="India"/>
    <s v="Yes"/>
  </r>
  <r>
    <n v="995"/>
    <s v="ORD202500995"/>
    <s v="CUST6726"/>
    <x v="0"/>
    <n v="23"/>
    <x v="1"/>
    <s v="2025-04-19"/>
    <x v="11"/>
    <x v="0"/>
    <x v="5"/>
    <s v="SKU38337"/>
    <x v="3"/>
    <s v="M"/>
    <n v="1"/>
    <s v="INR"/>
    <n v="3990.83"/>
    <s v="Mumbai"/>
    <x v="0"/>
    <n v="400001"/>
    <s v="India"/>
    <s v="Yes"/>
  </r>
  <r>
    <n v="996"/>
    <s v="ORD202500996"/>
    <s v="CUST9832"/>
    <x v="1"/>
    <n v="31"/>
    <x v="2"/>
    <s v="2025-03-11"/>
    <x v="0"/>
    <x v="2"/>
    <x v="5"/>
    <s v="SKU23865"/>
    <x v="4"/>
    <s v="M"/>
    <n v="2"/>
    <s v="INR"/>
    <n v="681.14"/>
    <s v="Mumbai"/>
    <x v="0"/>
    <n v="400001"/>
    <s v="India"/>
    <s v="No"/>
  </r>
  <r>
    <n v="997"/>
    <s v="ORD202500997"/>
    <s v="CUST7499"/>
    <x v="1"/>
    <n v="44"/>
    <x v="2"/>
    <s v="2025-10-02"/>
    <x v="4"/>
    <x v="0"/>
    <x v="5"/>
    <s v="SKU56659"/>
    <x v="3"/>
    <s v="L"/>
    <n v="1"/>
    <s v="INR"/>
    <n v="2542.85"/>
    <s v="Delhi"/>
    <x v="3"/>
    <n v="110001"/>
    <s v="India"/>
    <s v="No"/>
  </r>
  <r>
    <n v="998"/>
    <s v="ORD202500998"/>
    <s v="CUST1390"/>
    <x v="0"/>
    <n v="31"/>
    <x v="2"/>
    <s v="2025-12-29"/>
    <x v="1"/>
    <x v="3"/>
    <x v="5"/>
    <s v="SKU59602"/>
    <x v="0"/>
    <s v="XL"/>
    <n v="2"/>
    <s v="INR"/>
    <n v="1620.12"/>
    <s v="Jaipur"/>
    <x v="2"/>
    <n v="302001"/>
    <s v="India"/>
    <s v="No"/>
  </r>
  <r>
    <n v="999"/>
    <s v="ORD202500999"/>
    <s v="CUST1784"/>
    <x v="1"/>
    <n v="26"/>
    <x v="1"/>
    <s v="2025-04-03"/>
    <x v="11"/>
    <x v="3"/>
    <x v="5"/>
    <s v="SKU44985"/>
    <x v="4"/>
    <s v="L"/>
    <n v="4"/>
    <s v="INR"/>
    <n v="789.23"/>
    <s v="Delhi"/>
    <x v="3"/>
    <n v="110001"/>
    <s v="India"/>
    <s v="No"/>
  </r>
  <r>
    <n v="1000"/>
    <s v="ORD202501000"/>
    <s v="CUST6087"/>
    <x v="1"/>
    <n v="32"/>
    <x v="2"/>
    <s v="2025-08-01"/>
    <x v="5"/>
    <x v="3"/>
    <x v="4"/>
    <s v="SKU61880"/>
    <x v="0"/>
    <s v="M"/>
    <n v="2"/>
    <s v="INR"/>
    <n v="2799.99"/>
    <s v="Delhi"/>
    <x v="3"/>
    <n v="110001"/>
    <s v="India"/>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4BB515-EEE6-4C7E-82B9-A54FCAE021D2}" name="PivotTable2" cacheId="1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9" firstHeaderRow="1" firstDataRow="1" firstDataCol="1"/>
  <pivotFields count="21">
    <pivotField showAll="0"/>
    <pivotField dataField="1" showAll="0"/>
    <pivotField showAll="0"/>
    <pivotField showAll="0"/>
    <pivotField showAll="0"/>
    <pivotField showAll="0"/>
    <pivotField showAll="0"/>
    <pivotField showAll="0">
      <items count="13">
        <item x="10"/>
        <item x="8"/>
        <item x="0"/>
        <item x="11"/>
        <item x="2"/>
        <item x="3"/>
        <item x="9"/>
        <item x="5"/>
        <item x="7"/>
        <item x="4"/>
        <item x="6"/>
        <item x="1"/>
        <item t="default"/>
      </items>
    </pivotField>
    <pivotField showAll="0"/>
    <pivotField axis="axisRow" showAll="0">
      <items count="7">
        <item x="1"/>
        <item x="0"/>
        <item x="3"/>
        <item x="2"/>
        <item x="4"/>
        <item x="5"/>
        <item t="default"/>
      </items>
    </pivotField>
    <pivotField showAll="0"/>
    <pivotField showAll="0">
      <items count="7">
        <item x="5"/>
        <item x="3"/>
        <item x="2"/>
        <item x="4"/>
        <item x="1"/>
        <item x="0"/>
        <item t="default"/>
      </items>
    </pivotField>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x v="5"/>
    </i>
  </rowItems>
  <colItems count="1">
    <i/>
  </colItems>
  <dataFields count="1">
    <dataField name="Count of Order ID" fld="1" subtotal="count" showDataAs="percentOfTotal" baseField="0" baseItem="0" numFmtId="165"/>
  </dataFields>
  <formats count="1">
    <format dxfId="6">
      <pivotArea outline="0" collapsedLevelsAreSubtotals="1" fieldPosition="0"/>
    </format>
  </formats>
  <chartFormats count="21">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9" count="1" selected="0">
            <x v="0"/>
          </reference>
        </references>
      </pivotArea>
    </chartFormat>
    <chartFormat chart="4" format="2">
      <pivotArea type="data" outline="0" fieldPosition="0">
        <references count="2">
          <reference field="4294967294" count="1" selected="0">
            <x v="0"/>
          </reference>
          <reference field="9" count="1" selected="0">
            <x v="2"/>
          </reference>
        </references>
      </pivotArea>
    </chartFormat>
    <chartFormat chart="4" format="3">
      <pivotArea type="data" outline="0" fieldPosition="0">
        <references count="2">
          <reference field="4294967294" count="1" selected="0">
            <x v="0"/>
          </reference>
          <reference field="9" count="1" selected="0">
            <x v="1"/>
          </reference>
        </references>
      </pivotArea>
    </chartFormat>
    <chartFormat chart="4" format="4">
      <pivotArea type="data" outline="0" fieldPosition="0">
        <references count="2">
          <reference field="4294967294" count="1" selected="0">
            <x v="0"/>
          </reference>
          <reference field="9" count="1" selected="0">
            <x v="3"/>
          </reference>
        </references>
      </pivotArea>
    </chartFormat>
    <chartFormat chart="4" format="5">
      <pivotArea type="data" outline="0" fieldPosition="0">
        <references count="2">
          <reference field="4294967294" count="1" selected="0">
            <x v="0"/>
          </reference>
          <reference field="9" count="1" selected="0">
            <x v="5"/>
          </reference>
        </references>
      </pivotArea>
    </chartFormat>
    <chartFormat chart="4" format="6">
      <pivotArea type="data" outline="0" fieldPosition="0">
        <references count="2">
          <reference field="4294967294" count="1" selected="0">
            <x v="0"/>
          </reference>
          <reference field="9"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9" count="1" selected="0">
            <x v="0"/>
          </reference>
        </references>
      </pivotArea>
    </chartFormat>
    <chartFormat chart="6" format="9">
      <pivotArea type="data" outline="0" fieldPosition="0">
        <references count="2">
          <reference field="4294967294" count="1" selected="0">
            <x v="0"/>
          </reference>
          <reference field="9" count="1" selected="0">
            <x v="1"/>
          </reference>
        </references>
      </pivotArea>
    </chartFormat>
    <chartFormat chart="6" format="10">
      <pivotArea type="data" outline="0" fieldPosition="0">
        <references count="2">
          <reference field="4294967294" count="1" selected="0">
            <x v="0"/>
          </reference>
          <reference field="9" count="1" selected="0">
            <x v="2"/>
          </reference>
        </references>
      </pivotArea>
    </chartFormat>
    <chartFormat chart="6" format="11">
      <pivotArea type="data" outline="0" fieldPosition="0">
        <references count="2">
          <reference field="4294967294" count="1" selected="0">
            <x v="0"/>
          </reference>
          <reference field="9" count="1" selected="0">
            <x v="3"/>
          </reference>
        </references>
      </pivotArea>
    </chartFormat>
    <chartFormat chart="6" format="12">
      <pivotArea type="data" outline="0" fieldPosition="0">
        <references count="2">
          <reference field="4294967294" count="1" selected="0">
            <x v="0"/>
          </reference>
          <reference field="9" count="1" selected="0">
            <x v="4"/>
          </reference>
        </references>
      </pivotArea>
    </chartFormat>
    <chartFormat chart="6" format="13">
      <pivotArea type="data" outline="0" fieldPosition="0">
        <references count="2">
          <reference field="4294967294" count="1" selected="0">
            <x v="0"/>
          </reference>
          <reference field="9"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9" count="1" selected="0">
            <x v="0"/>
          </reference>
        </references>
      </pivotArea>
    </chartFormat>
    <chartFormat chart="7" format="16">
      <pivotArea type="data" outline="0" fieldPosition="0">
        <references count="2">
          <reference field="4294967294" count="1" selected="0">
            <x v="0"/>
          </reference>
          <reference field="9" count="1" selected="0">
            <x v="1"/>
          </reference>
        </references>
      </pivotArea>
    </chartFormat>
    <chartFormat chart="7" format="17">
      <pivotArea type="data" outline="0" fieldPosition="0">
        <references count="2">
          <reference field="4294967294" count="1" selected="0">
            <x v="0"/>
          </reference>
          <reference field="9" count="1" selected="0">
            <x v="2"/>
          </reference>
        </references>
      </pivotArea>
    </chartFormat>
    <chartFormat chart="7" format="18">
      <pivotArea type="data" outline="0" fieldPosition="0">
        <references count="2">
          <reference field="4294967294" count="1" selected="0">
            <x v="0"/>
          </reference>
          <reference field="9" count="1" selected="0">
            <x v="3"/>
          </reference>
        </references>
      </pivotArea>
    </chartFormat>
    <chartFormat chart="7" format="19">
      <pivotArea type="data" outline="0" fieldPosition="0">
        <references count="2">
          <reference field="4294967294" count="1" selected="0">
            <x v="0"/>
          </reference>
          <reference field="9" count="1" selected="0">
            <x v="4"/>
          </reference>
        </references>
      </pivotArea>
    </chartFormat>
    <chartFormat chart="7"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E85E3C-972C-4841-BDA3-5001D2AE0B72}" name="PivotTable1" cacheId="1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7"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2"/>
        <item x="0"/>
        <item x="1"/>
        <item t="default"/>
      </items>
    </pivotField>
    <pivotField showAll="0"/>
    <pivotField showAll="0">
      <items count="13">
        <item x="10"/>
        <item x="8"/>
        <item x="0"/>
        <item x="11"/>
        <item x="2"/>
        <item x="3"/>
        <item x="9"/>
        <item x="5"/>
        <item x="7"/>
        <item x="4"/>
        <item x="6"/>
        <item x="1"/>
        <item t="default"/>
      </items>
    </pivotField>
    <pivotField showAll="0"/>
    <pivotField showAll="0">
      <items count="7">
        <item x="1"/>
        <item x="0"/>
        <item x="3"/>
        <item x="2"/>
        <item x="4"/>
        <item x="5"/>
        <item t="default"/>
      </items>
    </pivotField>
    <pivotField showAll="0"/>
    <pivotField showAll="0">
      <items count="7">
        <item x="5"/>
        <item x="3"/>
        <item x="2"/>
        <item x="4"/>
        <item x="1"/>
        <item x="0"/>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4">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288070-5F2C-4C53-AFB3-409CB84701CA}" name="PivotTable1" cacheId="1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21">
    <pivotField showAll="0"/>
    <pivotField showAll="0"/>
    <pivotField showAll="0"/>
    <pivotField showAll="0"/>
    <pivotField showAll="0"/>
    <pivotField showAll="0"/>
    <pivotField showAll="0"/>
    <pivotField showAll="0">
      <items count="13">
        <item x="10"/>
        <item x="8"/>
        <item x="0"/>
        <item x="11"/>
        <item x="2"/>
        <item x="3"/>
        <item x="9"/>
        <item x="5"/>
        <item x="7"/>
        <item x="4"/>
        <item x="6"/>
        <item x="1"/>
        <item t="default"/>
      </items>
    </pivotField>
    <pivotField showAll="0"/>
    <pivotField showAll="0">
      <items count="7">
        <item x="1"/>
        <item x="0"/>
        <item x="3"/>
        <item x="2"/>
        <item x="4"/>
        <item x="5"/>
        <item t="default"/>
      </items>
    </pivotField>
    <pivotField showAll="0"/>
    <pivotField showAll="0">
      <items count="7">
        <item x="5"/>
        <item x="3"/>
        <item x="2"/>
        <item x="4"/>
        <item x="1"/>
        <item x="0"/>
        <item t="default"/>
      </items>
    </pivotField>
    <pivotField showAll="0"/>
    <pivotField showAll="0"/>
    <pivotField showAll="0"/>
    <pivotField dataField="1" showAll="0"/>
    <pivotField showAll="0"/>
    <pivotField axis="axisRow" showAll="0">
      <items count="6">
        <item x="3"/>
        <item x="2"/>
        <item x="0"/>
        <item x="4"/>
        <item x="1"/>
        <item t="default"/>
      </items>
    </pivotField>
    <pivotField showAll="0"/>
    <pivotField showAll="0"/>
    <pivotField showAll="0"/>
  </pivotFields>
  <rowFields count="1">
    <field x="17"/>
  </rowFields>
  <rowItems count="5">
    <i>
      <x/>
    </i>
    <i>
      <x v="1"/>
    </i>
    <i>
      <x v="2"/>
    </i>
    <i>
      <x v="3"/>
    </i>
    <i>
      <x v="4"/>
    </i>
  </rowItems>
  <colItems count="1">
    <i/>
  </colItems>
  <dataFields count="1">
    <dataField name="Sum of Amount" fld="15"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4FF091-B3D3-4559-9CC4-F396298A0E69}" name="PivotTable1" cacheId="1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15" firstHeaderRow="0" firstDataRow="1" firstDataCol="1"/>
  <pivotFields count="21">
    <pivotField showAll="0"/>
    <pivotField dataField="1" showAll="0"/>
    <pivotField showAll="0"/>
    <pivotField showAll="0"/>
    <pivotField showAll="0"/>
    <pivotField showAll="0"/>
    <pivotField showAll="0"/>
    <pivotField axis="axisRow" showAll="0">
      <items count="13">
        <item x="10"/>
        <item x="8"/>
        <item x="0"/>
        <item x="11"/>
        <item x="2"/>
        <item x="3"/>
        <item x="9"/>
        <item x="5"/>
        <item x="7"/>
        <item x="4"/>
        <item x="6"/>
        <item x="1"/>
        <item t="default"/>
      </items>
    </pivotField>
    <pivotField showAll="0"/>
    <pivotField showAll="0">
      <items count="7">
        <item x="1"/>
        <item x="0"/>
        <item x="3"/>
        <item x="2"/>
        <item x="4"/>
        <item x="5"/>
        <item t="default"/>
      </items>
    </pivotField>
    <pivotField showAll="0"/>
    <pivotField showAll="0">
      <items count="7">
        <item x="5"/>
        <item x="3"/>
        <item x="2"/>
        <item x="4"/>
        <item x="1"/>
        <item x="0"/>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06D9CB-562A-4159-9DD5-706AA97C1FBA}" name="PivotTable2" cacheId="1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21">
    <pivotField showAll="0"/>
    <pivotField dataField="1" showAll="0"/>
    <pivotField showAll="0"/>
    <pivotField showAll="0"/>
    <pivotField showAll="0"/>
    <pivotField showAll="0"/>
    <pivotField showAll="0"/>
    <pivotField showAll="0">
      <items count="13">
        <item x="10"/>
        <item x="8"/>
        <item x="0"/>
        <item x="11"/>
        <item x="2"/>
        <item x="3"/>
        <item x="9"/>
        <item x="5"/>
        <item x="7"/>
        <item x="4"/>
        <item x="6"/>
        <item x="1"/>
        <item t="default"/>
      </items>
    </pivotField>
    <pivotField axis="axisRow" showAll="0">
      <items count="5">
        <item x="1"/>
        <item x="2"/>
        <item x="0"/>
        <item x="3"/>
        <item t="default"/>
      </items>
    </pivotField>
    <pivotField showAll="0">
      <items count="7">
        <item x="1"/>
        <item x="0"/>
        <item x="3"/>
        <item x="2"/>
        <item x="4"/>
        <item x="5"/>
        <item t="default"/>
      </items>
    </pivotField>
    <pivotField showAll="0"/>
    <pivotField showAll="0">
      <items count="7">
        <item x="5"/>
        <item x="3"/>
        <item x="2"/>
        <item x="4"/>
        <item x="1"/>
        <item x="0"/>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8" count="1" selected="0">
            <x v="0"/>
          </reference>
        </references>
      </pivotArea>
    </chartFormat>
    <chartFormat chart="3" format="12">
      <pivotArea type="data" outline="0" fieldPosition="0">
        <references count="2">
          <reference field="4294967294" count="1" selected="0">
            <x v="0"/>
          </reference>
          <reference field="8" count="1" selected="0">
            <x v="1"/>
          </reference>
        </references>
      </pivotArea>
    </chartFormat>
    <chartFormat chart="3" format="13">
      <pivotArea type="data" outline="0" fieldPosition="0">
        <references count="2">
          <reference field="4294967294" count="1" selected="0">
            <x v="0"/>
          </reference>
          <reference field="8" count="1" selected="0">
            <x v="2"/>
          </reference>
        </references>
      </pivotArea>
    </chartFormat>
    <chartFormat chart="3"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5F64CA-BFAF-4AA4-BDBC-CCEE6E7F6DE4}" name="PivotTable1" cacheId="1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showAll="0"/>
    <pivotField showAll="0">
      <items count="13">
        <item x="10"/>
        <item x="8"/>
        <item x="0"/>
        <item x="11"/>
        <item x="2"/>
        <item x="3"/>
        <item x="9"/>
        <item x="5"/>
        <item x="7"/>
        <item x="4"/>
        <item x="6"/>
        <item x="1"/>
        <item t="default"/>
      </items>
    </pivotField>
    <pivotField showAll="0"/>
    <pivotField showAll="0">
      <items count="7">
        <item x="1"/>
        <item x="0"/>
        <item x="3"/>
        <item x="2"/>
        <item x="4"/>
        <item x="5"/>
        <item t="default"/>
      </items>
    </pivotField>
    <pivotField showAll="0"/>
    <pivotField showAll="0">
      <items count="7">
        <item x="5"/>
        <item x="3"/>
        <item x="2"/>
        <item x="4"/>
        <item x="1"/>
        <item x="0"/>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3" count="1" selected="0">
            <x v="0"/>
          </reference>
        </references>
      </pivotArea>
    </chartFormat>
    <chartFormat chart="5" format="5">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66670E-6612-4CA8-89C4-7914FA5C98F5}" sourceName="Month">
  <pivotTables>
    <pivotTable tabId="2" name="PivotTable1"/>
    <pivotTable tabId="9" name="PivotTable2"/>
    <pivotTable tabId="8" name="PivotTable1"/>
    <pivotTable tabId="5" name="PivotTable1"/>
    <pivotTable tabId="6" name="PivotTable2"/>
    <pivotTable tabId="7" name="PivotTable1"/>
  </pivotTables>
  <data>
    <tabular pivotCacheId="1452894620">
      <items count="12">
        <i x="10" s="1"/>
        <i x="8" s="1"/>
        <i x="0" s="1"/>
        <i x="11" s="1"/>
        <i x="2" s="1"/>
        <i x="3" s="1"/>
        <i x="9" s="1"/>
        <i x="5" s="1"/>
        <i x="7" s="1"/>
        <i x="4"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88DF37F-D4A4-40C0-9B60-3012E8A61A4E}" sourceName="Channel">
  <pivotTables>
    <pivotTable tabId="2" name="PivotTable1"/>
    <pivotTable tabId="9" name="PivotTable2"/>
    <pivotTable tabId="8" name="PivotTable1"/>
    <pivotTable tabId="5" name="PivotTable1"/>
    <pivotTable tabId="6" name="PivotTable2"/>
    <pivotTable tabId="7" name="PivotTable1"/>
  </pivotTables>
  <data>
    <tabular pivotCacheId="1452894620">
      <items count="6">
        <i x="1" s="1"/>
        <i x="0" s="1"/>
        <i x="3" s="1"/>
        <i x="2"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51E082-7699-421E-9507-2DE690AB6BD2}" sourceName="Category">
  <pivotTables>
    <pivotTable tabId="2" name="PivotTable1"/>
    <pivotTable tabId="9" name="PivotTable2"/>
    <pivotTable tabId="8" name="PivotTable1"/>
    <pivotTable tabId="5" name="PivotTable1"/>
    <pivotTable tabId="6" name="PivotTable2"/>
    <pivotTable tabId="7" name="PivotTable1"/>
  </pivotTables>
  <data>
    <tabular pivotCacheId="1452894620">
      <items count="6">
        <i x="5" s="1"/>
        <i x="3"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6A62182-E322-47C7-ABF3-33E30984C267}" cache="Slicer_Month" caption="Month" rowHeight="234950"/>
  <slicer name="Channel" xr10:uid="{58377F61-8597-4CCC-972D-049BB493686B}" cache="Slicer_Channel" caption="Channel" rowHeight="234950"/>
  <slicer name="Category" xr10:uid="{1747984A-781D-478D-9F3F-05D193CA6128}"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6A80E-E8BA-46A4-B1F2-0508D9AE01D3}">
  <sheetPr>
    <pageSetUpPr autoPageBreaks="0"/>
  </sheetPr>
  <dimension ref="A1:U25"/>
  <sheetViews>
    <sheetView showGridLines="0" tabSelected="1" zoomScale="109" zoomScaleNormal="105" workbookViewId="0">
      <selection activeCell="J29" sqref="J29"/>
    </sheetView>
  </sheetViews>
  <sheetFormatPr defaultRowHeight="14.4" x14ac:dyDescent="0.3"/>
  <cols>
    <col min="19" max="19" width="8.88671875" customWidth="1"/>
    <col min="20" max="20" width="10.88671875" customWidth="1"/>
    <col min="21" max="21" width="11.109375" customWidth="1"/>
  </cols>
  <sheetData>
    <row r="1" spans="1:21" ht="21" x14ac:dyDescent="0.4">
      <c r="A1" s="4" t="s">
        <v>3353</v>
      </c>
      <c r="B1" s="5"/>
      <c r="C1" s="5"/>
      <c r="D1" s="5"/>
      <c r="E1" s="5"/>
      <c r="F1" s="5"/>
      <c r="G1" s="5"/>
      <c r="H1" s="5"/>
      <c r="I1" s="5"/>
      <c r="J1" s="5"/>
      <c r="K1" s="5"/>
      <c r="L1" s="5"/>
      <c r="M1" s="5"/>
      <c r="N1" s="5"/>
      <c r="O1" s="5"/>
      <c r="P1" s="5"/>
      <c r="Q1" s="5"/>
      <c r="R1" s="5"/>
      <c r="S1" s="5"/>
      <c r="T1" s="5"/>
      <c r="U1" s="5"/>
    </row>
    <row r="2" spans="1:21" x14ac:dyDescent="0.3">
      <c r="A2" s="3"/>
      <c r="B2" s="3"/>
      <c r="C2" s="3"/>
      <c r="D2" s="3"/>
      <c r="E2" s="3"/>
      <c r="F2" s="3"/>
      <c r="G2" s="3"/>
      <c r="H2" s="3"/>
      <c r="I2" s="3"/>
      <c r="J2" s="3"/>
      <c r="K2" s="3"/>
      <c r="L2" s="3"/>
      <c r="M2" s="3"/>
      <c r="N2" s="3"/>
      <c r="O2" s="3"/>
      <c r="P2" s="3"/>
      <c r="Q2" s="3"/>
      <c r="R2" s="3"/>
      <c r="S2" s="3"/>
      <c r="T2" s="3"/>
      <c r="U2" s="3"/>
    </row>
    <row r="3" spans="1:21" x14ac:dyDescent="0.3">
      <c r="A3" s="3"/>
      <c r="B3" s="3"/>
      <c r="C3" s="3"/>
      <c r="D3" s="3"/>
      <c r="E3" s="3"/>
      <c r="F3" s="3"/>
      <c r="G3" s="3"/>
      <c r="H3" s="3"/>
      <c r="I3" s="3"/>
      <c r="J3" s="3"/>
      <c r="K3" s="3"/>
      <c r="L3" s="3"/>
      <c r="M3" s="3"/>
      <c r="N3" s="3"/>
      <c r="O3" s="3"/>
      <c r="P3" s="3"/>
      <c r="Q3" s="3"/>
      <c r="R3" s="3"/>
      <c r="S3" s="3"/>
      <c r="T3" s="3"/>
      <c r="U3" s="3"/>
    </row>
    <row r="4" spans="1:21" x14ac:dyDescent="0.3">
      <c r="A4" s="3"/>
      <c r="B4" s="3"/>
      <c r="C4" s="3"/>
      <c r="D4" s="3"/>
      <c r="E4" s="3"/>
      <c r="F4" s="3"/>
      <c r="G4" s="3"/>
      <c r="H4" s="3"/>
      <c r="I4" s="3"/>
      <c r="J4" s="3"/>
      <c r="K4" s="3"/>
      <c r="L4" s="3"/>
      <c r="M4" s="3"/>
      <c r="N4" s="3"/>
      <c r="O4" s="3"/>
      <c r="P4" s="3"/>
      <c r="Q4" s="3"/>
      <c r="R4" s="3"/>
      <c r="S4" s="3"/>
      <c r="T4" s="3"/>
      <c r="U4" s="3"/>
    </row>
    <row r="5" spans="1:21" x14ac:dyDescent="0.3">
      <c r="A5" s="3"/>
      <c r="B5" s="3"/>
      <c r="C5" s="3"/>
      <c r="D5" s="3"/>
      <c r="E5" s="3"/>
      <c r="F5" s="3"/>
      <c r="G5" s="3"/>
      <c r="H5" s="3"/>
      <c r="I5" s="3"/>
      <c r="J5" s="3"/>
      <c r="K5" s="3"/>
      <c r="L5" s="3"/>
      <c r="M5" s="3"/>
      <c r="N5" s="3"/>
      <c r="O5" s="3"/>
      <c r="P5" s="3"/>
      <c r="Q5" s="3"/>
      <c r="R5" s="3"/>
      <c r="S5" s="3"/>
      <c r="T5" s="3"/>
      <c r="U5" s="3"/>
    </row>
    <row r="6" spans="1:21" x14ac:dyDescent="0.3">
      <c r="A6" s="3"/>
      <c r="B6" s="3"/>
      <c r="C6" s="3"/>
      <c r="D6" s="3"/>
      <c r="E6" s="3"/>
      <c r="F6" s="3"/>
      <c r="G6" s="3"/>
      <c r="H6" s="3"/>
      <c r="I6" s="3"/>
      <c r="J6" s="3"/>
      <c r="K6" s="3"/>
      <c r="L6" s="3"/>
      <c r="M6" s="3"/>
      <c r="N6" s="3"/>
      <c r="O6" s="3"/>
      <c r="P6" s="3"/>
      <c r="Q6" s="3"/>
      <c r="R6" s="3"/>
      <c r="S6" s="3"/>
      <c r="T6" s="3"/>
      <c r="U6" s="3"/>
    </row>
    <row r="7" spans="1:21" x14ac:dyDescent="0.3">
      <c r="A7" s="3"/>
      <c r="B7" s="3"/>
      <c r="C7" s="3"/>
      <c r="D7" s="3"/>
      <c r="E7" s="3"/>
      <c r="F7" s="3"/>
      <c r="G7" s="3"/>
      <c r="H7" s="3"/>
      <c r="I7" s="3"/>
      <c r="J7" s="3"/>
      <c r="K7" s="3"/>
      <c r="L7" s="3"/>
      <c r="M7" s="3"/>
      <c r="N7" s="3"/>
      <c r="O7" s="3"/>
      <c r="P7" s="3"/>
      <c r="Q7" s="3"/>
      <c r="R7" s="3"/>
      <c r="S7" s="3"/>
      <c r="T7" s="3"/>
      <c r="U7" s="3"/>
    </row>
    <row r="8" spans="1:21" x14ac:dyDescent="0.3">
      <c r="A8" s="3"/>
      <c r="B8" s="3"/>
      <c r="C8" s="3"/>
      <c r="D8" s="3"/>
      <c r="E8" s="3"/>
      <c r="F8" s="3"/>
      <c r="G8" s="3"/>
      <c r="H8" s="3"/>
      <c r="I8" s="3"/>
      <c r="J8" s="3"/>
      <c r="K8" s="3"/>
      <c r="L8" s="3"/>
      <c r="M8" s="3"/>
      <c r="N8" s="3"/>
      <c r="O8" s="3"/>
      <c r="P8" s="3"/>
      <c r="Q8" s="3"/>
      <c r="R8" s="3"/>
      <c r="S8" s="3"/>
      <c r="T8" s="3"/>
      <c r="U8" s="3"/>
    </row>
    <row r="9" spans="1:21" x14ac:dyDescent="0.3">
      <c r="A9" s="3"/>
      <c r="B9" s="3"/>
      <c r="C9" s="3"/>
      <c r="D9" s="3"/>
      <c r="E9" s="3"/>
      <c r="F9" s="3"/>
      <c r="G9" s="3"/>
      <c r="H9" s="3"/>
      <c r="I9" s="3"/>
      <c r="J9" s="3"/>
      <c r="K9" s="3"/>
      <c r="L9" s="3"/>
      <c r="M9" s="3"/>
      <c r="N9" s="3"/>
      <c r="O9" s="3"/>
      <c r="P9" s="3"/>
      <c r="Q9" s="3"/>
      <c r="R9" s="3"/>
      <c r="S9" s="3"/>
      <c r="T9" s="3"/>
      <c r="U9" s="3"/>
    </row>
    <row r="10" spans="1:21" x14ac:dyDescent="0.3">
      <c r="A10" s="3"/>
      <c r="B10" s="3"/>
      <c r="C10" s="3"/>
      <c r="D10" s="3"/>
      <c r="E10" s="3"/>
      <c r="F10" s="3"/>
      <c r="G10" s="3"/>
      <c r="H10" s="3"/>
      <c r="I10" s="3"/>
      <c r="J10" s="3"/>
      <c r="K10" s="3"/>
      <c r="L10" s="3"/>
      <c r="M10" s="3"/>
      <c r="N10" s="3"/>
      <c r="O10" s="3"/>
      <c r="P10" s="3"/>
      <c r="Q10" s="3"/>
      <c r="R10" s="3"/>
      <c r="S10" s="3"/>
      <c r="T10" s="3"/>
      <c r="U10" s="3"/>
    </row>
    <row r="11" spans="1:21" x14ac:dyDescent="0.3">
      <c r="A11" s="3"/>
      <c r="B11" s="3"/>
      <c r="C11" s="3"/>
      <c r="D11" s="3"/>
      <c r="E11" s="3"/>
      <c r="F11" s="3"/>
      <c r="G11" s="3"/>
      <c r="H11" s="3"/>
      <c r="I11" s="3"/>
      <c r="J11" s="3"/>
      <c r="K11" s="3"/>
      <c r="L11" s="3"/>
      <c r="M11" s="3"/>
      <c r="N11" s="3"/>
      <c r="O11" s="3"/>
      <c r="P11" s="3"/>
      <c r="Q11" s="3"/>
      <c r="R11" s="3"/>
      <c r="S11" s="3"/>
      <c r="T11" s="3"/>
      <c r="U11" s="3"/>
    </row>
    <row r="12" spans="1:21" x14ac:dyDescent="0.3">
      <c r="A12" s="3"/>
      <c r="B12" s="3"/>
      <c r="C12" s="3"/>
      <c r="D12" s="3"/>
      <c r="E12" s="3"/>
      <c r="F12" s="3"/>
      <c r="G12" s="3"/>
      <c r="H12" s="3"/>
      <c r="I12" s="3"/>
      <c r="J12" s="3"/>
      <c r="K12" s="3"/>
      <c r="L12" s="3"/>
      <c r="M12" s="3"/>
      <c r="N12" s="3"/>
      <c r="O12" s="3"/>
      <c r="P12" s="3"/>
      <c r="Q12" s="3"/>
      <c r="R12" s="3"/>
      <c r="S12" s="3"/>
      <c r="T12" s="3"/>
      <c r="U12" s="3"/>
    </row>
    <row r="13" spans="1:21" x14ac:dyDescent="0.3">
      <c r="A13" s="3"/>
      <c r="B13" s="3"/>
      <c r="C13" s="3"/>
      <c r="D13" s="3"/>
      <c r="E13" s="3"/>
      <c r="F13" s="3"/>
      <c r="G13" s="3"/>
      <c r="H13" s="3"/>
      <c r="I13" s="3"/>
      <c r="J13" s="3"/>
      <c r="K13" s="3"/>
      <c r="L13" s="3"/>
      <c r="M13" s="3"/>
      <c r="N13" s="3"/>
      <c r="O13" s="3"/>
      <c r="P13" s="3"/>
      <c r="Q13" s="3"/>
      <c r="R13" s="3"/>
      <c r="S13" s="3"/>
      <c r="T13" s="3"/>
      <c r="U13" s="3"/>
    </row>
    <row r="14" spans="1:21" x14ac:dyDescent="0.3">
      <c r="A14" s="3"/>
      <c r="B14" s="3"/>
      <c r="C14" s="3"/>
      <c r="D14" s="3"/>
      <c r="E14" s="3"/>
      <c r="F14" s="3"/>
      <c r="G14" s="3"/>
      <c r="H14" s="3"/>
      <c r="I14" s="3"/>
      <c r="J14" s="3"/>
      <c r="K14" s="3"/>
      <c r="L14" s="3"/>
      <c r="M14" s="3"/>
      <c r="N14" s="3"/>
      <c r="O14" s="3"/>
      <c r="P14" s="3"/>
      <c r="Q14" s="3"/>
      <c r="R14" s="3"/>
      <c r="S14" s="3"/>
      <c r="T14" s="3"/>
      <c r="U14" s="3"/>
    </row>
    <row r="15" spans="1:21" x14ac:dyDescent="0.3">
      <c r="A15" s="3"/>
      <c r="B15" s="3"/>
      <c r="C15" s="3"/>
      <c r="D15" s="3"/>
      <c r="E15" s="3"/>
      <c r="F15" s="3"/>
      <c r="G15" s="3"/>
      <c r="H15" s="3"/>
      <c r="I15" s="3"/>
      <c r="J15" s="3"/>
      <c r="K15" s="3"/>
      <c r="L15" s="3"/>
      <c r="M15" s="3"/>
      <c r="N15" s="3"/>
      <c r="O15" s="3"/>
      <c r="P15" s="3"/>
      <c r="Q15" s="3"/>
      <c r="R15" s="3"/>
      <c r="S15" s="3"/>
      <c r="T15" s="3"/>
      <c r="U15" s="3"/>
    </row>
    <row r="16" spans="1:21" x14ac:dyDescent="0.3">
      <c r="A16" s="3"/>
      <c r="B16" s="3"/>
      <c r="C16" s="3"/>
      <c r="D16" s="3"/>
      <c r="E16" s="3"/>
      <c r="F16" s="3"/>
      <c r="G16" s="3"/>
      <c r="H16" s="3"/>
      <c r="I16" s="3"/>
      <c r="J16" s="3"/>
      <c r="K16" s="3"/>
      <c r="L16" s="3"/>
      <c r="M16" s="3"/>
      <c r="N16" s="3"/>
      <c r="O16" s="3"/>
      <c r="P16" s="3"/>
      <c r="Q16" s="3"/>
      <c r="R16" s="3"/>
      <c r="S16" s="3"/>
      <c r="T16" s="3"/>
      <c r="U16" s="3"/>
    </row>
    <row r="17" spans="1:21" x14ac:dyDescent="0.3">
      <c r="A17" s="3"/>
      <c r="B17" s="3"/>
      <c r="C17" s="3"/>
      <c r="D17" s="3"/>
      <c r="E17" s="3"/>
      <c r="F17" s="3"/>
      <c r="G17" s="3"/>
      <c r="H17" s="3"/>
      <c r="I17" s="3"/>
      <c r="J17" s="3"/>
      <c r="K17" s="3"/>
      <c r="L17" s="3"/>
      <c r="M17" s="3"/>
      <c r="N17" s="3"/>
      <c r="O17" s="3"/>
      <c r="P17" s="3"/>
      <c r="Q17" s="3"/>
      <c r="R17" s="3"/>
      <c r="S17" s="3"/>
      <c r="T17" s="3"/>
      <c r="U17" s="3"/>
    </row>
    <row r="18" spans="1:21" x14ac:dyDescent="0.3">
      <c r="A18" s="3"/>
      <c r="B18" s="3"/>
      <c r="C18" s="3"/>
      <c r="D18" s="3"/>
      <c r="E18" s="3"/>
      <c r="F18" s="3"/>
      <c r="G18" s="3"/>
      <c r="H18" s="3"/>
      <c r="I18" s="3"/>
      <c r="J18" s="3"/>
      <c r="K18" s="3"/>
      <c r="L18" s="3"/>
      <c r="M18" s="3"/>
      <c r="N18" s="3"/>
      <c r="O18" s="3"/>
      <c r="P18" s="3"/>
      <c r="Q18" s="3"/>
      <c r="R18" s="3"/>
      <c r="S18" s="3"/>
      <c r="T18" s="3"/>
      <c r="U18" s="3"/>
    </row>
    <row r="19" spans="1:21" x14ac:dyDescent="0.3">
      <c r="A19" s="3"/>
      <c r="B19" s="3"/>
      <c r="C19" s="3"/>
      <c r="D19" s="3"/>
      <c r="E19" s="3"/>
      <c r="F19" s="3"/>
      <c r="G19" s="3"/>
      <c r="H19" s="3"/>
      <c r="I19" s="3"/>
      <c r="J19" s="3"/>
      <c r="K19" s="3"/>
      <c r="L19" s="3"/>
      <c r="M19" s="3"/>
      <c r="N19" s="3"/>
      <c r="O19" s="3"/>
      <c r="P19" s="3"/>
      <c r="Q19" s="3"/>
      <c r="R19" s="3"/>
      <c r="S19" s="3"/>
      <c r="T19" s="3"/>
      <c r="U19" s="3"/>
    </row>
    <row r="20" spans="1:21" x14ac:dyDescent="0.3">
      <c r="A20" s="3"/>
      <c r="B20" s="3"/>
      <c r="C20" s="3"/>
      <c r="D20" s="3"/>
      <c r="E20" s="3"/>
      <c r="F20" s="3"/>
      <c r="G20" s="3"/>
      <c r="H20" s="3"/>
      <c r="I20" s="3"/>
      <c r="J20" s="3"/>
      <c r="K20" s="3"/>
      <c r="L20" s="3"/>
      <c r="M20" s="3"/>
      <c r="N20" s="3"/>
      <c r="O20" s="3"/>
      <c r="P20" s="3"/>
      <c r="Q20" s="3"/>
      <c r="R20" s="3"/>
      <c r="S20" s="3"/>
      <c r="T20" s="3"/>
      <c r="U20" s="3"/>
    </row>
    <row r="21" spans="1:21" x14ac:dyDescent="0.3">
      <c r="A21" s="3"/>
      <c r="B21" s="3"/>
      <c r="C21" s="3"/>
      <c r="D21" s="3"/>
      <c r="E21" s="3"/>
      <c r="F21" s="3"/>
      <c r="G21" s="3"/>
      <c r="H21" s="3"/>
      <c r="I21" s="3"/>
      <c r="J21" s="3"/>
      <c r="K21" s="3"/>
      <c r="L21" s="3"/>
      <c r="M21" s="3"/>
      <c r="N21" s="3"/>
      <c r="O21" s="3"/>
      <c r="P21" s="3"/>
      <c r="Q21" s="3"/>
      <c r="R21" s="3"/>
      <c r="S21" s="3"/>
      <c r="T21" s="3"/>
      <c r="U21" s="3"/>
    </row>
    <row r="22" spans="1:21" x14ac:dyDescent="0.3">
      <c r="A22" s="3"/>
      <c r="B22" s="3"/>
      <c r="C22" s="3"/>
      <c r="D22" s="3"/>
      <c r="E22" s="3"/>
      <c r="F22" s="3"/>
      <c r="G22" s="3"/>
      <c r="H22" s="3"/>
      <c r="I22" s="3"/>
      <c r="J22" s="3"/>
      <c r="K22" s="3"/>
      <c r="L22" s="3"/>
      <c r="M22" s="3"/>
      <c r="N22" s="3"/>
      <c r="O22" s="3"/>
      <c r="P22" s="3"/>
      <c r="Q22" s="3"/>
      <c r="R22" s="3"/>
      <c r="S22" s="3"/>
      <c r="T22" s="3"/>
      <c r="U22" s="3"/>
    </row>
    <row r="23" spans="1:21" x14ac:dyDescent="0.3">
      <c r="A23" s="3"/>
      <c r="B23" s="3"/>
      <c r="C23" s="3"/>
      <c r="D23" s="3"/>
      <c r="E23" s="3"/>
      <c r="F23" s="3"/>
      <c r="G23" s="3"/>
      <c r="H23" s="3"/>
      <c r="I23" s="3"/>
      <c r="J23" s="3"/>
      <c r="K23" s="3"/>
      <c r="L23" s="3"/>
      <c r="M23" s="3"/>
      <c r="N23" s="3"/>
      <c r="O23" s="3"/>
      <c r="P23" s="3"/>
      <c r="Q23" s="3"/>
      <c r="R23" s="3"/>
      <c r="S23" s="3"/>
      <c r="T23" s="3"/>
      <c r="U23" s="3"/>
    </row>
    <row r="24" spans="1:21" x14ac:dyDescent="0.3">
      <c r="A24" s="3"/>
      <c r="B24" s="3"/>
      <c r="C24" s="3"/>
      <c r="D24" s="3"/>
      <c r="E24" s="3"/>
      <c r="F24" s="3"/>
      <c r="G24" s="3"/>
      <c r="H24" s="3"/>
      <c r="I24" s="3"/>
      <c r="J24" s="3"/>
      <c r="K24" s="3"/>
      <c r="L24" s="3"/>
      <c r="M24" s="3"/>
      <c r="N24" s="3"/>
      <c r="O24" s="3"/>
      <c r="P24" s="3"/>
      <c r="Q24" s="3"/>
      <c r="R24" s="3"/>
      <c r="S24" s="3"/>
      <c r="T24" s="3"/>
      <c r="U24" s="3"/>
    </row>
    <row r="25" spans="1:21" x14ac:dyDescent="0.3">
      <c r="A25" s="3"/>
      <c r="B25" s="3"/>
      <c r="C25" s="3"/>
      <c r="D25" s="3"/>
      <c r="E25" s="3"/>
      <c r="F25" s="3"/>
      <c r="G25" s="3"/>
      <c r="H25" s="3"/>
      <c r="I25" s="3"/>
      <c r="J25" s="3"/>
      <c r="K25" s="3"/>
      <c r="L25" s="3"/>
      <c r="M25" s="3"/>
      <c r="N25" s="3"/>
      <c r="O25" s="3"/>
      <c r="P25" s="3"/>
      <c r="Q25" s="3"/>
      <c r="R25" s="3"/>
      <c r="S25" s="3"/>
      <c r="T25" s="3"/>
      <c r="U25" s="3"/>
    </row>
  </sheetData>
  <mergeCells count="1">
    <mergeCell ref="A1:U1"/>
  </mergeCells>
  <phoneticPr fontId="1"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1C48-CD73-4CEB-A6EC-B7F498F8D529}">
  <dimension ref="A3:B9"/>
  <sheetViews>
    <sheetView workbookViewId="0">
      <selection activeCell="K5" sqref="K5"/>
    </sheetView>
  </sheetViews>
  <sheetFormatPr defaultRowHeight="14.4" x14ac:dyDescent="0.3"/>
  <cols>
    <col min="1" max="1" width="12.5546875" bestFit="1" customWidth="1"/>
    <col min="2" max="2" width="15.88671875" bestFit="1" customWidth="1"/>
  </cols>
  <sheetData>
    <row r="3" spans="1:2" x14ac:dyDescent="0.3">
      <c r="A3" s="1" t="s">
        <v>3339</v>
      </c>
      <c r="B3" t="s">
        <v>3338</v>
      </c>
    </row>
    <row r="4" spans="1:2" x14ac:dyDescent="0.3">
      <c r="A4" s="2" t="s">
        <v>31</v>
      </c>
      <c r="B4" s="8">
        <v>0.28599999999999998</v>
      </c>
    </row>
    <row r="5" spans="1:2" x14ac:dyDescent="0.3">
      <c r="A5" s="2" t="s">
        <v>18</v>
      </c>
      <c r="B5" s="8">
        <v>5.7000000000000002E-2</v>
      </c>
    </row>
    <row r="6" spans="1:2" x14ac:dyDescent="0.3">
      <c r="A6" s="2" t="s">
        <v>79</v>
      </c>
      <c r="B6" s="8">
        <v>0.23</v>
      </c>
    </row>
    <row r="7" spans="1:2" x14ac:dyDescent="0.3">
      <c r="A7" s="2" t="s">
        <v>40</v>
      </c>
      <c r="B7" s="8">
        <v>0.255</v>
      </c>
    </row>
    <row r="8" spans="1:2" x14ac:dyDescent="0.3">
      <c r="A8" s="2" t="s">
        <v>71</v>
      </c>
      <c r="B8" s="8">
        <v>7.8E-2</v>
      </c>
    </row>
    <row r="9" spans="1:2" x14ac:dyDescent="0.3">
      <c r="A9" s="2" t="s">
        <v>101</v>
      </c>
      <c r="B9" s="8">
        <v>9.4E-2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2F9BC-A937-4F9D-8156-76BA33C1E899}">
  <dimension ref="A3:C7"/>
  <sheetViews>
    <sheetView workbookViewId="0">
      <selection activeCell="N19" sqref="N19"/>
    </sheetView>
  </sheetViews>
  <sheetFormatPr defaultRowHeight="14.4" x14ac:dyDescent="0.3"/>
  <cols>
    <col min="1" max="1" width="15.88671875" bestFit="1" customWidth="1"/>
    <col min="2" max="2" width="15.5546875" bestFit="1" customWidth="1"/>
    <col min="3" max="3" width="7.6640625" bestFit="1" customWidth="1"/>
    <col min="4" max="4" width="10.77734375" bestFit="1" customWidth="1"/>
  </cols>
  <sheetData>
    <row r="3" spans="1:3" x14ac:dyDescent="0.3">
      <c r="A3" s="1" t="s">
        <v>3338</v>
      </c>
      <c r="B3" s="1" t="s">
        <v>3357</v>
      </c>
    </row>
    <row r="4" spans="1:3" x14ac:dyDescent="0.3">
      <c r="A4" s="1" t="s">
        <v>3339</v>
      </c>
      <c r="B4" t="s">
        <v>29</v>
      </c>
      <c r="C4" t="s">
        <v>15</v>
      </c>
    </row>
    <row r="5" spans="1:3" x14ac:dyDescent="0.3">
      <c r="A5" s="2" t="s">
        <v>3354</v>
      </c>
      <c r="B5" s="7">
        <v>0.16200000000000001</v>
      </c>
      <c r="C5" s="7">
        <v>0.27800000000000002</v>
      </c>
    </row>
    <row r="6" spans="1:3" x14ac:dyDescent="0.3">
      <c r="A6" s="2" t="s">
        <v>3355</v>
      </c>
      <c r="B6" s="7">
        <v>7.9000000000000001E-2</v>
      </c>
      <c r="C6" s="7">
        <v>0.19700000000000001</v>
      </c>
    </row>
    <row r="7" spans="1:3" x14ac:dyDescent="0.3">
      <c r="A7" s="2" t="s">
        <v>3356</v>
      </c>
      <c r="B7" s="7">
        <v>0.10100000000000001</v>
      </c>
      <c r="C7" s="7">
        <v>0.183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A899" workbookViewId="0">
      <selection activeCell="I922" sqref="I922"/>
    </sheetView>
  </sheetViews>
  <sheetFormatPr defaultRowHeight="14.4" x14ac:dyDescent="0.3"/>
  <cols>
    <col min="1" max="1" width="7.6640625" customWidth="1"/>
    <col min="2" max="2" width="13.77734375" bestFit="1" customWidth="1"/>
    <col min="3" max="3" width="10.44140625" customWidth="1"/>
    <col min="6" max="6" width="9.44140625" bestFit="1" customWidth="1"/>
    <col min="7" max="8" width="11.109375" customWidth="1"/>
    <col min="9" max="9" width="9.6640625" customWidth="1"/>
    <col min="11" max="11" width="10.77734375" customWidth="1"/>
    <col min="16" max="16" width="9.77734375" customWidth="1"/>
    <col min="17" max="17" width="10.6640625" customWidth="1"/>
    <col min="18" max="18" width="14.109375" customWidth="1"/>
    <col min="19" max="19" width="14.6640625" bestFit="1" customWidth="1"/>
    <col min="20" max="20" width="11.44140625" bestFit="1" customWidth="1"/>
  </cols>
  <sheetData>
    <row r="1" spans="1:21" x14ac:dyDescent="0.3">
      <c r="A1" t="s">
        <v>3329</v>
      </c>
      <c r="B1" t="s">
        <v>0</v>
      </c>
      <c r="C1" t="s">
        <v>1</v>
      </c>
      <c r="D1" t="s">
        <v>2</v>
      </c>
      <c r="E1" t="s">
        <v>3</v>
      </c>
      <c r="F1" t="s">
        <v>3335</v>
      </c>
      <c r="G1" t="s">
        <v>4</v>
      </c>
      <c r="H1" t="s">
        <v>3336</v>
      </c>
      <c r="I1" t="s">
        <v>5</v>
      </c>
      <c r="J1" t="s">
        <v>6</v>
      </c>
      <c r="K1" t="s">
        <v>7</v>
      </c>
      <c r="L1" t="s">
        <v>8</v>
      </c>
      <c r="M1" t="s">
        <v>9</v>
      </c>
      <c r="N1" t="s">
        <v>10</v>
      </c>
      <c r="O1" t="s">
        <v>3334</v>
      </c>
      <c r="P1" t="s">
        <v>11</v>
      </c>
      <c r="Q1" t="s">
        <v>3333</v>
      </c>
      <c r="R1" t="s">
        <v>3331</v>
      </c>
      <c r="S1" t="s">
        <v>3330</v>
      </c>
      <c r="T1" t="s">
        <v>3332</v>
      </c>
      <c r="U1" t="s">
        <v>12</v>
      </c>
    </row>
    <row r="2" spans="1:21" x14ac:dyDescent="0.3">
      <c r="A2">
        <v>1</v>
      </c>
      <c r="B2" t="s">
        <v>13</v>
      </c>
      <c r="C2" t="s">
        <v>14</v>
      </c>
      <c r="D2" t="s">
        <v>15</v>
      </c>
      <c r="E2">
        <v>56</v>
      </c>
      <c r="F2" t="str">
        <f>IF(E2&gt;=50,"Senior", IF(E2&gt;=30, "Adult","Teenager"))</f>
        <v>Senior</v>
      </c>
      <c r="G2" t="s">
        <v>16</v>
      </c>
      <c r="H2" t="str">
        <f>TEXT(G2,"MMM")</f>
        <v>Mar</v>
      </c>
      <c r="I2" t="s">
        <v>17</v>
      </c>
      <c r="J2" t="s">
        <v>18</v>
      </c>
      <c r="K2" t="s">
        <v>19</v>
      </c>
      <c r="L2" t="s">
        <v>20</v>
      </c>
      <c r="M2" t="s">
        <v>21</v>
      </c>
      <c r="N2">
        <v>1</v>
      </c>
      <c r="O2" t="s">
        <v>22</v>
      </c>
      <c r="P2">
        <v>2920.67</v>
      </c>
      <c r="Q2" t="s">
        <v>23</v>
      </c>
      <c r="R2" t="s">
        <v>24</v>
      </c>
      <c r="S2">
        <v>400001</v>
      </c>
      <c r="T2" t="s">
        <v>25</v>
      </c>
      <c r="U2" t="s">
        <v>26</v>
      </c>
    </row>
    <row r="3" spans="1:21" x14ac:dyDescent="0.3">
      <c r="A3">
        <v>2</v>
      </c>
      <c r="B3" t="s">
        <v>27</v>
      </c>
      <c r="C3" t="s">
        <v>28</v>
      </c>
      <c r="D3" t="s">
        <v>29</v>
      </c>
      <c r="E3">
        <v>21</v>
      </c>
      <c r="F3" t="str">
        <f t="shared" ref="F3:F66" si="0">IF(E3&gt;=50,"Senior", IF(E3&gt;=30, "Adult","Teenager"))</f>
        <v>Teenager</v>
      </c>
      <c r="G3" t="s">
        <v>30</v>
      </c>
      <c r="H3" t="str">
        <f t="shared" ref="H3:H66" si="1">TEXT(G3,"MMM")</f>
        <v>Mar</v>
      </c>
      <c r="I3" t="s">
        <v>17</v>
      </c>
      <c r="J3" t="s">
        <v>31</v>
      </c>
      <c r="K3" t="s">
        <v>32</v>
      </c>
      <c r="L3" t="s">
        <v>33</v>
      </c>
      <c r="M3" t="s">
        <v>34</v>
      </c>
      <c r="N3">
        <v>4</v>
      </c>
      <c r="O3" t="s">
        <v>22</v>
      </c>
      <c r="P3">
        <v>1025.52</v>
      </c>
      <c r="Q3" t="s">
        <v>35</v>
      </c>
      <c r="R3" t="s">
        <v>36</v>
      </c>
      <c r="S3">
        <v>560001</v>
      </c>
      <c r="T3" t="s">
        <v>25</v>
      </c>
      <c r="U3" t="s">
        <v>26</v>
      </c>
    </row>
    <row r="4" spans="1:21" x14ac:dyDescent="0.3">
      <c r="A4">
        <v>3</v>
      </c>
      <c r="B4" t="s">
        <v>37</v>
      </c>
      <c r="C4" t="s">
        <v>38</v>
      </c>
      <c r="D4" t="s">
        <v>15</v>
      </c>
      <c r="E4">
        <v>58</v>
      </c>
      <c r="F4" t="str">
        <f t="shared" si="0"/>
        <v>Senior</v>
      </c>
      <c r="G4" t="s">
        <v>39</v>
      </c>
      <c r="H4" t="str">
        <f t="shared" si="1"/>
        <v>Dec</v>
      </c>
      <c r="I4" t="s">
        <v>17</v>
      </c>
      <c r="J4" t="s">
        <v>40</v>
      </c>
      <c r="K4" t="s">
        <v>41</v>
      </c>
      <c r="L4" t="s">
        <v>20</v>
      </c>
      <c r="M4" t="s">
        <v>34</v>
      </c>
      <c r="N4">
        <v>5</v>
      </c>
      <c r="O4" t="s">
        <v>22</v>
      </c>
      <c r="P4">
        <v>3898.44</v>
      </c>
      <c r="Q4" t="s">
        <v>42</v>
      </c>
      <c r="R4" t="s">
        <v>43</v>
      </c>
      <c r="S4">
        <v>302001</v>
      </c>
      <c r="T4" t="s">
        <v>25</v>
      </c>
      <c r="U4" t="s">
        <v>44</v>
      </c>
    </row>
    <row r="5" spans="1:21" x14ac:dyDescent="0.3">
      <c r="A5">
        <v>4</v>
      </c>
      <c r="B5" t="s">
        <v>45</v>
      </c>
      <c r="C5" t="s">
        <v>46</v>
      </c>
      <c r="D5" t="s">
        <v>29</v>
      </c>
      <c r="E5">
        <v>57</v>
      </c>
      <c r="F5" t="str">
        <f t="shared" si="0"/>
        <v>Senior</v>
      </c>
      <c r="G5" t="s">
        <v>47</v>
      </c>
      <c r="H5" t="str">
        <f t="shared" si="1"/>
        <v>May</v>
      </c>
      <c r="I5" t="s">
        <v>48</v>
      </c>
      <c r="J5" t="s">
        <v>40</v>
      </c>
      <c r="K5" t="s">
        <v>49</v>
      </c>
      <c r="L5" t="s">
        <v>33</v>
      </c>
      <c r="M5" t="s">
        <v>50</v>
      </c>
      <c r="N5">
        <v>1</v>
      </c>
      <c r="O5" t="s">
        <v>22</v>
      </c>
      <c r="P5">
        <v>2975.89</v>
      </c>
      <c r="Q5" t="s">
        <v>51</v>
      </c>
      <c r="R5" t="s">
        <v>51</v>
      </c>
      <c r="S5">
        <v>110001</v>
      </c>
      <c r="T5" t="s">
        <v>25</v>
      </c>
      <c r="U5" t="s">
        <v>44</v>
      </c>
    </row>
    <row r="6" spans="1:21" x14ac:dyDescent="0.3">
      <c r="A6">
        <v>5</v>
      </c>
      <c r="B6" t="s">
        <v>52</v>
      </c>
      <c r="C6" t="s">
        <v>53</v>
      </c>
      <c r="D6" t="s">
        <v>29</v>
      </c>
      <c r="E6">
        <v>53</v>
      </c>
      <c r="F6" t="str">
        <f t="shared" si="0"/>
        <v>Senior</v>
      </c>
      <c r="G6" t="s">
        <v>54</v>
      </c>
      <c r="H6" t="str">
        <f t="shared" si="1"/>
        <v>Jun</v>
      </c>
      <c r="I6" t="s">
        <v>48</v>
      </c>
      <c r="J6" t="s">
        <v>40</v>
      </c>
      <c r="K6" t="s">
        <v>55</v>
      </c>
      <c r="L6" t="s">
        <v>56</v>
      </c>
      <c r="M6" t="s">
        <v>21</v>
      </c>
      <c r="N6">
        <v>5</v>
      </c>
      <c r="O6" t="s">
        <v>22</v>
      </c>
      <c r="P6">
        <v>3582.82</v>
      </c>
      <c r="Q6" t="s">
        <v>35</v>
      </c>
      <c r="R6" t="s">
        <v>51</v>
      </c>
      <c r="S6">
        <v>560001</v>
      </c>
      <c r="T6" t="s">
        <v>25</v>
      </c>
      <c r="U6" t="s">
        <v>44</v>
      </c>
    </row>
    <row r="7" spans="1:21" x14ac:dyDescent="0.3">
      <c r="A7">
        <v>6</v>
      </c>
      <c r="B7" t="s">
        <v>57</v>
      </c>
      <c r="C7" t="s">
        <v>58</v>
      </c>
      <c r="D7" t="s">
        <v>15</v>
      </c>
      <c r="E7">
        <v>33</v>
      </c>
      <c r="F7" t="str">
        <f t="shared" si="0"/>
        <v>Adult</v>
      </c>
      <c r="G7" t="s">
        <v>59</v>
      </c>
      <c r="H7" t="str">
        <f t="shared" si="1"/>
        <v>Oct</v>
      </c>
      <c r="I7" t="s">
        <v>60</v>
      </c>
      <c r="J7" t="s">
        <v>40</v>
      </c>
      <c r="K7" t="s">
        <v>61</v>
      </c>
      <c r="L7" t="s">
        <v>62</v>
      </c>
      <c r="M7" t="s">
        <v>50</v>
      </c>
      <c r="N7">
        <v>1</v>
      </c>
      <c r="O7" t="s">
        <v>22</v>
      </c>
      <c r="P7">
        <v>2466.5700000000002</v>
      </c>
      <c r="Q7" t="s">
        <v>35</v>
      </c>
      <c r="R7" t="s">
        <v>51</v>
      </c>
      <c r="S7">
        <v>560001</v>
      </c>
      <c r="T7" t="s">
        <v>25</v>
      </c>
      <c r="U7" t="s">
        <v>44</v>
      </c>
    </row>
    <row r="8" spans="1:21" x14ac:dyDescent="0.3">
      <c r="A8">
        <v>7</v>
      </c>
      <c r="B8" t="s">
        <v>63</v>
      </c>
      <c r="C8" t="s">
        <v>64</v>
      </c>
      <c r="D8" t="s">
        <v>15</v>
      </c>
      <c r="E8">
        <v>58</v>
      </c>
      <c r="F8" t="str">
        <f t="shared" si="0"/>
        <v>Senior</v>
      </c>
      <c r="G8" t="s">
        <v>65</v>
      </c>
      <c r="H8" t="str">
        <f t="shared" si="1"/>
        <v>Dec</v>
      </c>
      <c r="I8" t="s">
        <v>60</v>
      </c>
      <c r="J8" t="s">
        <v>40</v>
      </c>
      <c r="K8" t="s">
        <v>66</v>
      </c>
      <c r="L8" t="s">
        <v>20</v>
      </c>
      <c r="M8" t="s">
        <v>21</v>
      </c>
      <c r="N8">
        <v>3</v>
      </c>
      <c r="O8" t="s">
        <v>22</v>
      </c>
      <c r="P8">
        <v>305.39999999999998</v>
      </c>
      <c r="Q8" t="s">
        <v>35</v>
      </c>
      <c r="R8" t="s">
        <v>51</v>
      </c>
      <c r="S8">
        <v>560001</v>
      </c>
      <c r="T8" t="s">
        <v>25</v>
      </c>
      <c r="U8" t="s">
        <v>44</v>
      </c>
    </row>
    <row r="9" spans="1:21" x14ac:dyDescent="0.3">
      <c r="A9">
        <v>8</v>
      </c>
      <c r="B9" t="s">
        <v>67</v>
      </c>
      <c r="C9" t="s">
        <v>68</v>
      </c>
      <c r="D9" t="s">
        <v>15</v>
      </c>
      <c r="E9">
        <v>38</v>
      </c>
      <c r="F9" t="str">
        <f t="shared" si="0"/>
        <v>Adult</v>
      </c>
      <c r="G9" t="s">
        <v>69</v>
      </c>
      <c r="H9" t="str">
        <f t="shared" si="1"/>
        <v>Mar</v>
      </c>
      <c r="I9" t="s">
        <v>60</v>
      </c>
      <c r="J9" t="s">
        <v>40</v>
      </c>
      <c r="K9" t="s">
        <v>72</v>
      </c>
      <c r="L9" t="s">
        <v>73</v>
      </c>
      <c r="M9" t="s">
        <v>50</v>
      </c>
      <c r="N9">
        <v>4</v>
      </c>
      <c r="O9" t="s">
        <v>22</v>
      </c>
      <c r="P9">
        <v>983.39</v>
      </c>
      <c r="Q9" t="s">
        <v>74</v>
      </c>
      <c r="R9" t="s">
        <v>51</v>
      </c>
      <c r="S9">
        <v>226001</v>
      </c>
      <c r="T9" t="s">
        <v>25</v>
      </c>
      <c r="U9" t="s">
        <v>26</v>
      </c>
    </row>
    <row r="10" spans="1:21" x14ac:dyDescent="0.3">
      <c r="A10">
        <v>9</v>
      </c>
      <c r="B10" t="s">
        <v>76</v>
      </c>
      <c r="C10" t="s">
        <v>77</v>
      </c>
      <c r="D10" t="s">
        <v>29</v>
      </c>
      <c r="E10">
        <v>34</v>
      </c>
      <c r="F10" t="str">
        <f t="shared" si="0"/>
        <v>Adult</v>
      </c>
      <c r="G10" t="s">
        <v>78</v>
      </c>
      <c r="H10" t="str">
        <f t="shared" si="1"/>
        <v>Aug</v>
      </c>
      <c r="I10" t="s">
        <v>60</v>
      </c>
      <c r="J10" t="s">
        <v>40</v>
      </c>
      <c r="K10" t="s">
        <v>80</v>
      </c>
      <c r="L10" t="s">
        <v>62</v>
      </c>
      <c r="M10" t="s">
        <v>21</v>
      </c>
      <c r="N10">
        <v>3</v>
      </c>
      <c r="O10" t="s">
        <v>22</v>
      </c>
      <c r="P10">
        <v>2090.77</v>
      </c>
      <c r="Q10" t="s">
        <v>23</v>
      </c>
      <c r="R10" t="s">
        <v>51</v>
      </c>
      <c r="S10">
        <v>400001</v>
      </c>
      <c r="T10" t="s">
        <v>25</v>
      </c>
      <c r="U10" t="s">
        <v>44</v>
      </c>
    </row>
    <row r="11" spans="1:21" x14ac:dyDescent="0.3">
      <c r="A11">
        <v>10</v>
      </c>
      <c r="B11" t="s">
        <v>81</v>
      </c>
      <c r="C11" t="s">
        <v>82</v>
      </c>
      <c r="D11" t="s">
        <v>15</v>
      </c>
      <c r="E11">
        <v>29</v>
      </c>
      <c r="F11" t="str">
        <f t="shared" si="0"/>
        <v>Teenager</v>
      </c>
      <c r="G11" t="s">
        <v>83</v>
      </c>
      <c r="H11" t="str">
        <f t="shared" si="1"/>
        <v>Nov</v>
      </c>
      <c r="I11" t="s">
        <v>60</v>
      </c>
      <c r="J11" t="s">
        <v>79</v>
      </c>
      <c r="K11" t="s">
        <v>84</v>
      </c>
      <c r="L11" t="s">
        <v>62</v>
      </c>
      <c r="M11" t="s">
        <v>85</v>
      </c>
      <c r="N11">
        <v>2</v>
      </c>
      <c r="O11" t="s">
        <v>22</v>
      </c>
      <c r="P11">
        <v>4832.5</v>
      </c>
      <c r="Q11" t="s">
        <v>74</v>
      </c>
      <c r="R11" t="s">
        <v>51</v>
      </c>
      <c r="S11">
        <v>226001</v>
      </c>
      <c r="T11" t="s">
        <v>25</v>
      </c>
      <c r="U11" t="s">
        <v>44</v>
      </c>
    </row>
    <row r="12" spans="1:21" x14ac:dyDescent="0.3">
      <c r="A12">
        <v>11</v>
      </c>
      <c r="B12" t="s">
        <v>86</v>
      </c>
      <c r="C12" t="s">
        <v>87</v>
      </c>
      <c r="D12" t="s">
        <v>15</v>
      </c>
      <c r="E12">
        <v>57</v>
      </c>
      <c r="F12" t="str">
        <f t="shared" si="0"/>
        <v>Senior</v>
      </c>
      <c r="G12" t="s">
        <v>88</v>
      </c>
      <c r="H12" t="str">
        <f t="shared" si="1"/>
        <v>Aug</v>
      </c>
      <c r="I12" t="s">
        <v>60</v>
      </c>
      <c r="J12" t="s">
        <v>40</v>
      </c>
      <c r="K12" t="s">
        <v>89</v>
      </c>
      <c r="L12" t="s">
        <v>56</v>
      </c>
      <c r="M12" t="s">
        <v>85</v>
      </c>
      <c r="N12">
        <v>5</v>
      </c>
      <c r="O12" t="s">
        <v>22</v>
      </c>
      <c r="P12">
        <v>2619.5500000000002</v>
      </c>
      <c r="Q12" t="s">
        <v>74</v>
      </c>
      <c r="R12" t="s">
        <v>51</v>
      </c>
      <c r="S12">
        <v>226001</v>
      </c>
      <c r="T12" t="s">
        <v>25</v>
      </c>
      <c r="U12" t="s">
        <v>26</v>
      </c>
    </row>
    <row r="13" spans="1:21" x14ac:dyDescent="0.3">
      <c r="A13">
        <v>12</v>
      </c>
      <c r="B13" t="s">
        <v>90</v>
      </c>
      <c r="C13" t="s">
        <v>91</v>
      </c>
      <c r="D13" t="s">
        <v>15</v>
      </c>
      <c r="E13">
        <v>40</v>
      </c>
      <c r="F13" t="str">
        <f t="shared" si="0"/>
        <v>Adult</v>
      </c>
      <c r="G13" t="s">
        <v>92</v>
      </c>
      <c r="H13" t="str">
        <f t="shared" si="1"/>
        <v>Dec</v>
      </c>
      <c r="I13" t="s">
        <v>60</v>
      </c>
      <c r="J13" t="s">
        <v>71</v>
      </c>
      <c r="K13" t="s">
        <v>93</v>
      </c>
      <c r="L13" t="s">
        <v>33</v>
      </c>
      <c r="M13" t="s">
        <v>50</v>
      </c>
      <c r="N13">
        <v>5</v>
      </c>
      <c r="O13" t="s">
        <v>22</v>
      </c>
      <c r="P13">
        <v>1228.81</v>
      </c>
      <c r="Q13" t="s">
        <v>74</v>
      </c>
      <c r="R13" t="s">
        <v>51</v>
      </c>
      <c r="S13">
        <v>226001</v>
      </c>
      <c r="T13" t="s">
        <v>25</v>
      </c>
      <c r="U13" t="s">
        <v>44</v>
      </c>
    </row>
    <row r="14" spans="1:21" x14ac:dyDescent="0.3">
      <c r="A14">
        <v>13</v>
      </c>
      <c r="B14" t="s">
        <v>94</v>
      </c>
      <c r="C14" t="s">
        <v>95</v>
      </c>
      <c r="D14" t="s">
        <v>15</v>
      </c>
      <c r="E14">
        <v>38</v>
      </c>
      <c r="F14" t="str">
        <f t="shared" si="0"/>
        <v>Adult</v>
      </c>
      <c r="G14" t="s">
        <v>96</v>
      </c>
      <c r="H14" t="str">
        <f t="shared" si="1"/>
        <v>Jun</v>
      </c>
      <c r="I14" t="s">
        <v>60</v>
      </c>
      <c r="J14" t="s">
        <v>18</v>
      </c>
      <c r="K14" t="s">
        <v>97</v>
      </c>
      <c r="L14" t="s">
        <v>56</v>
      </c>
      <c r="M14" t="s">
        <v>50</v>
      </c>
      <c r="N14">
        <v>2</v>
      </c>
      <c r="O14" t="s">
        <v>22</v>
      </c>
      <c r="P14">
        <v>1589.88</v>
      </c>
      <c r="Q14" t="s">
        <v>74</v>
      </c>
      <c r="R14" t="s">
        <v>51</v>
      </c>
      <c r="S14">
        <v>226001</v>
      </c>
      <c r="T14" t="s">
        <v>25</v>
      </c>
      <c r="U14" t="s">
        <v>44</v>
      </c>
    </row>
    <row r="15" spans="1:21" x14ac:dyDescent="0.3">
      <c r="A15">
        <v>14</v>
      </c>
      <c r="B15" t="s">
        <v>98</v>
      </c>
      <c r="C15" t="s">
        <v>99</v>
      </c>
      <c r="D15" t="s">
        <v>29</v>
      </c>
      <c r="E15">
        <v>18</v>
      </c>
      <c r="F15" t="str">
        <f t="shared" si="0"/>
        <v>Teenager</v>
      </c>
      <c r="G15" t="s">
        <v>100</v>
      </c>
      <c r="H15" t="str">
        <f t="shared" si="1"/>
        <v>Nov</v>
      </c>
      <c r="I15" t="s">
        <v>70</v>
      </c>
      <c r="J15" t="s">
        <v>101</v>
      </c>
      <c r="K15" t="s">
        <v>102</v>
      </c>
      <c r="L15" t="s">
        <v>33</v>
      </c>
      <c r="M15" t="s">
        <v>50</v>
      </c>
      <c r="N15">
        <v>2</v>
      </c>
      <c r="O15" t="s">
        <v>22</v>
      </c>
      <c r="P15">
        <v>1247.58</v>
      </c>
      <c r="Q15" t="s">
        <v>35</v>
      </c>
      <c r="R15" t="s">
        <v>51</v>
      </c>
      <c r="S15">
        <v>560001</v>
      </c>
      <c r="T15" t="s">
        <v>25</v>
      </c>
      <c r="U15" t="s">
        <v>44</v>
      </c>
    </row>
    <row r="16" spans="1:21" x14ac:dyDescent="0.3">
      <c r="A16">
        <v>15</v>
      </c>
      <c r="B16" t="s">
        <v>103</v>
      </c>
      <c r="C16" t="s">
        <v>104</v>
      </c>
      <c r="D16" t="s">
        <v>15</v>
      </c>
      <c r="E16">
        <v>46</v>
      </c>
      <c r="F16" t="str">
        <f t="shared" si="0"/>
        <v>Adult</v>
      </c>
      <c r="G16" t="s">
        <v>105</v>
      </c>
      <c r="H16" t="str">
        <f t="shared" si="1"/>
        <v>Sep</v>
      </c>
      <c r="I16" t="s">
        <v>60</v>
      </c>
      <c r="J16" t="s">
        <v>40</v>
      </c>
      <c r="K16" t="s">
        <v>106</v>
      </c>
      <c r="L16" t="s">
        <v>107</v>
      </c>
      <c r="M16" t="s">
        <v>50</v>
      </c>
      <c r="N16">
        <v>5</v>
      </c>
      <c r="O16" t="s">
        <v>22</v>
      </c>
      <c r="P16">
        <v>3490.03</v>
      </c>
      <c r="Q16" t="s">
        <v>74</v>
      </c>
      <c r="R16" t="s">
        <v>51</v>
      </c>
      <c r="S16">
        <v>226001</v>
      </c>
      <c r="T16" t="s">
        <v>25</v>
      </c>
      <c r="U16" t="s">
        <v>26</v>
      </c>
    </row>
    <row r="17" spans="1:21" x14ac:dyDescent="0.3">
      <c r="A17">
        <v>16</v>
      </c>
      <c r="B17" t="s">
        <v>108</v>
      </c>
      <c r="C17" t="s">
        <v>109</v>
      </c>
      <c r="D17" t="s">
        <v>15</v>
      </c>
      <c r="E17">
        <v>53</v>
      </c>
      <c r="F17" t="str">
        <f t="shared" si="0"/>
        <v>Senior</v>
      </c>
      <c r="G17" t="s">
        <v>110</v>
      </c>
      <c r="H17" t="str">
        <f t="shared" si="1"/>
        <v>Dec</v>
      </c>
      <c r="I17" t="s">
        <v>17</v>
      </c>
      <c r="J17" t="s">
        <v>18</v>
      </c>
      <c r="K17" t="s">
        <v>111</v>
      </c>
      <c r="L17" t="s">
        <v>62</v>
      </c>
      <c r="M17" t="s">
        <v>85</v>
      </c>
      <c r="N17">
        <v>3</v>
      </c>
      <c r="O17" t="s">
        <v>22</v>
      </c>
      <c r="P17">
        <v>908.38</v>
      </c>
      <c r="Q17" t="s">
        <v>23</v>
      </c>
      <c r="R17" t="s">
        <v>51</v>
      </c>
      <c r="S17">
        <v>400001</v>
      </c>
      <c r="T17" t="s">
        <v>25</v>
      </c>
      <c r="U17" t="s">
        <v>26</v>
      </c>
    </row>
    <row r="18" spans="1:21" x14ac:dyDescent="0.3">
      <c r="A18">
        <v>17</v>
      </c>
      <c r="B18" t="s">
        <v>112</v>
      </c>
      <c r="C18" t="s">
        <v>113</v>
      </c>
      <c r="D18" t="s">
        <v>29</v>
      </c>
      <c r="E18">
        <v>28</v>
      </c>
      <c r="F18" t="str">
        <f t="shared" si="0"/>
        <v>Teenager</v>
      </c>
      <c r="G18" t="s">
        <v>114</v>
      </c>
      <c r="H18" t="str">
        <f t="shared" si="1"/>
        <v>Mar</v>
      </c>
      <c r="I18" t="s">
        <v>60</v>
      </c>
      <c r="J18" t="s">
        <v>40</v>
      </c>
      <c r="K18" t="s">
        <v>115</v>
      </c>
      <c r="L18" t="s">
        <v>107</v>
      </c>
      <c r="M18" t="s">
        <v>21</v>
      </c>
      <c r="N18">
        <v>4</v>
      </c>
      <c r="O18" t="s">
        <v>22</v>
      </c>
      <c r="P18">
        <v>3741.25</v>
      </c>
      <c r="Q18" t="s">
        <v>42</v>
      </c>
      <c r="R18" t="s">
        <v>51</v>
      </c>
      <c r="S18">
        <v>302001</v>
      </c>
      <c r="T18" t="s">
        <v>25</v>
      </c>
      <c r="U18" t="s">
        <v>26</v>
      </c>
    </row>
    <row r="19" spans="1:21" x14ac:dyDescent="0.3">
      <c r="A19">
        <v>18</v>
      </c>
      <c r="B19" t="s">
        <v>116</v>
      </c>
      <c r="C19" t="s">
        <v>117</v>
      </c>
      <c r="D19" t="s">
        <v>15</v>
      </c>
      <c r="E19">
        <v>45</v>
      </c>
      <c r="F19" t="str">
        <f t="shared" si="0"/>
        <v>Adult</v>
      </c>
      <c r="G19" t="s">
        <v>118</v>
      </c>
      <c r="H19" t="str">
        <f t="shared" si="1"/>
        <v>Oct</v>
      </c>
      <c r="I19" t="s">
        <v>48</v>
      </c>
      <c r="J19" t="s">
        <v>40</v>
      </c>
      <c r="K19" t="s">
        <v>119</v>
      </c>
      <c r="L19" t="s">
        <v>62</v>
      </c>
      <c r="M19" t="s">
        <v>21</v>
      </c>
      <c r="N19">
        <v>4</v>
      </c>
      <c r="O19" t="s">
        <v>22</v>
      </c>
      <c r="P19">
        <v>916.1</v>
      </c>
      <c r="Q19" t="s">
        <v>42</v>
      </c>
      <c r="R19" t="s">
        <v>51</v>
      </c>
      <c r="S19">
        <v>302001</v>
      </c>
      <c r="T19" t="s">
        <v>25</v>
      </c>
      <c r="U19" t="s">
        <v>44</v>
      </c>
    </row>
    <row r="20" spans="1:21" x14ac:dyDescent="0.3">
      <c r="A20">
        <v>19</v>
      </c>
      <c r="B20" t="s">
        <v>120</v>
      </c>
      <c r="C20" t="s">
        <v>121</v>
      </c>
      <c r="D20" t="s">
        <v>15</v>
      </c>
      <c r="E20">
        <v>50</v>
      </c>
      <c r="F20" t="str">
        <f t="shared" si="0"/>
        <v>Senior</v>
      </c>
      <c r="G20" t="s">
        <v>65</v>
      </c>
      <c r="H20" t="str">
        <f t="shared" si="1"/>
        <v>Dec</v>
      </c>
      <c r="I20" t="s">
        <v>60</v>
      </c>
      <c r="J20" t="s">
        <v>79</v>
      </c>
      <c r="K20" t="s">
        <v>122</v>
      </c>
      <c r="L20" t="s">
        <v>73</v>
      </c>
      <c r="M20" t="s">
        <v>34</v>
      </c>
      <c r="N20">
        <v>3</v>
      </c>
      <c r="O20" t="s">
        <v>22</v>
      </c>
      <c r="P20">
        <v>2158.27</v>
      </c>
      <c r="Q20" t="s">
        <v>35</v>
      </c>
      <c r="R20" t="s">
        <v>51</v>
      </c>
      <c r="S20">
        <v>560001</v>
      </c>
      <c r="T20" t="s">
        <v>25</v>
      </c>
      <c r="U20" t="s">
        <v>26</v>
      </c>
    </row>
    <row r="21" spans="1:21" x14ac:dyDescent="0.3">
      <c r="A21">
        <v>20</v>
      </c>
      <c r="B21" t="s">
        <v>123</v>
      </c>
      <c r="C21" t="s">
        <v>124</v>
      </c>
      <c r="D21" t="s">
        <v>29</v>
      </c>
      <c r="E21">
        <v>36</v>
      </c>
      <c r="F21" t="str">
        <f t="shared" si="0"/>
        <v>Adult</v>
      </c>
      <c r="G21" t="s">
        <v>47</v>
      </c>
      <c r="H21" t="str">
        <f t="shared" si="1"/>
        <v>May</v>
      </c>
      <c r="I21" t="s">
        <v>60</v>
      </c>
      <c r="J21" t="s">
        <v>79</v>
      </c>
      <c r="K21" t="s">
        <v>125</v>
      </c>
      <c r="L21" t="s">
        <v>62</v>
      </c>
      <c r="M21" t="s">
        <v>50</v>
      </c>
      <c r="N21">
        <v>3</v>
      </c>
      <c r="O21" t="s">
        <v>22</v>
      </c>
      <c r="P21">
        <v>1596.23</v>
      </c>
      <c r="Q21" t="s">
        <v>23</v>
      </c>
      <c r="R21" t="s">
        <v>51</v>
      </c>
      <c r="S21">
        <v>400001</v>
      </c>
      <c r="T21" t="s">
        <v>25</v>
      </c>
      <c r="U21" t="s">
        <v>44</v>
      </c>
    </row>
    <row r="22" spans="1:21" x14ac:dyDescent="0.3">
      <c r="A22">
        <v>21</v>
      </c>
      <c r="B22" t="s">
        <v>126</v>
      </c>
      <c r="C22" t="s">
        <v>127</v>
      </c>
      <c r="D22" t="s">
        <v>15</v>
      </c>
      <c r="E22">
        <v>29</v>
      </c>
      <c r="F22" t="str">
        <f t="shared" si="0"/>
        <v>Teenager</v>
      </c>
      <c r="G22" t="s">
        <v>128</v>
      </c>
      <c r="H22" t="str">
        <f t="shared" si="1"/>
        <v>May</v>
      </c>
      <c r="I22" t="s">
        <v>60</v>
      </c>
      <c r="J22" t="s">
        <v>101</v>
      </c>
      <c r="K22" t="s">
        <v>129</v>
      </c>
      <c r="L22" t="s">
        <v>20</v>
      </c>
      <c r="M22" t="s">
        <v>85</v>
      </c>
      <c r="N22">
        <v>2</v>
      </c>
      <c r="O22" t="s">
        <v>22</v>
      </c>
      <c r="P22">
        <v>389.11</v>
      </c>
      <c r="Q22" t="s">
        <v>74</v>
      </c>
      <c r="R22" t="s">
        <v>51</v>
      </c>
      <c r="S22">
        <v>226001</v>
      </c>
      <c r="T22" t="s">
        <v>25</v>
      </c>
      <c r="U22" t="s">
        <v>26</v>
      </c>
    </row>
    <row r="23" spans="1:21" x14ac:dyDescent="0.3">
      <c r="A23">
        <v>22</v>
      </c>
      <c r="B23" t="s">
        <v>130</v>
      </c>
      <c r="C23" t="s">
        <v>131</v>
      </c>
      <c r="D23" t="s">
        <v>15</v>
      </c>
      <c r="E23">
        <v>50</v>
      </c>
      <c r="F23" t="str">
        <f t="shared" si="0"/>
        <v>Senior</v>
      </c>
      <c r="G23" t="s">
        <v>100</v>
      </c>
      <c r="H23" t="str">
        <f t="shared" si="1"/>
        <v>Nov</v>
      </c>
      <c r="I23" t="s">
        <v>60</v>
      </c>
      <c r="J23" t="s">
        <v>101</v>
      </c>
      <c r="K23" t="s">
        <v>132</v>
      </c>
      <c r="L23" t="s">
        <v>56</v>
      </c>
      <c r="M23" t="s">
        <v>85</v>
      </c>
      <c r="N23">
        <v>5</v>
      </c>
      <c r="O23" t="s">
        <v>22</v>
      </c>
      <c r="P23">
        <v>766.59</v>
      </c>
      <c r="Q23" t="s">
        <v>42</v>
      </c>
      <c r="R23" t="s">
        <v>51</v>
      </c>
      <c r="S23">
        <v>302001</v>
      </c>
      <c r="T23" t="s">
        <v>25</v>
      </c>
      <c r="U23" t="s">
        <v>44</v>
      </c>
    </row>
    <row r="24" spans="1:21" x14ac:dyDescent="0.3">
      <c r="A24">
        <v>23</v>
      </c>
      <c r="B24" t="s">
        <v>133</v>
      </c>
      <c r="C24" t="s">
        <v>134</v>
      </c>
      <c r="D24" t="s">
        <v>29</v>
      </c>
      <c r="E24">
        <v>45</v>
      </c>
      <c r="F24" t="str">
        <f t="shared" si="0"/>
        <v>Adult</v>
      </c>
      <c r="G24" t="s">
        <v>135</v>
      </c>
      <c r="H24" t="str">
        <f t="shared" si="1"/>
        <v>Feb</v>
      </c>
      <c r="I24" t="s">
        <v>60</v>
      </c>
      <c r="J24" t="s">
        <v>101</v>
      </c>
      <c r="K24" t="s">
        <v>136</v>
      </c>
      <c r="L24" t="s">
        <v>62</v>
      </c>
      <c r="M24" t="s">
        <v>21</v>
      </c>
      <c r="N24">
        <v>1</v>
      </c>
      <c r="O24" t="s">
        <v>22</v>
      </c>
      <c r="P24">
        <v>3438.78</v>
      </c>
      <c r="Q24" t="s">
        <v>74</v>
      </c>
      <c r="R24" t="s">
        <v>51</v>
      </c>
      <c r="S24">
        <v>226001</v>
      </c>
      <c r="T24" t="s">
        <v>25</v>
      </c>
      <c r="U24" t="s">
        <v>26</v>
      </c>
    </row>
    <row r="25" spans="1:21" x14ac:dyDescent="0.3">
      <c r="A25">
        <v>24</v>
      </c>
      <c r="B25" t="s">
        <v>137</v>
      </c>
      <c r="C25" t="s">
        <v>138</v>
      </c>
      <c r="D25" t="s">
        <v>29</v>
      </c>
      <c r="E25">
        <v>55</v>
      </c>
      <c r="F25" t="str">
        <f t="shared" si="0"/>
        <v>Senior</v>
      </c>
      <c r="G25" t="s">
        <v>139</v>
      </c>
      <c r="H25" t="str">
        <f t="shared" si="1"/>
        <v>Feb</v>
      </c>
      <c r="I25" t="s">
        <v>60</v>
      </c>
      <c r="J25" t="s">
        <v>31</v>
      </c>
      <c r="K25" t="s">
        <v>140</v>
      </c>
      <c r="L25" t="s">
        <v>62</v>
      </c>
      <c r="M25" t="s">
        <v>85</v>
      </c>
      <c r="N25">
        <v>2</v>
      </c>
      <c r="O25" t="s">
        <v>22</v>
      </c>
      <c r="P25">
        <v>3394.92</v>
      </c>
      <c r="Q25" t="s">
        <v>23</v>
      </c>
      <c r="R25" t="s">
        <v>24</v>
      </c>
      <c r="S25">
        <v>400001</v>
      </c>
      <c r="T25" t="s">
        <v>25</v>
      </c>
      <c r="U25" t="s">
        <v>26</v>
      </c>
    </row>
    <row r="26" spans="1:21" x14ac:dyDescent="0.3">
      <c r="A26">
        <v>25</v>
      </c>
      <c r="B26" t="s">
        <v>141</v>
      </c>
      <c r="C26" t="s">
        <v>142</v>
      </c>
      <c r="D26" t="s">
        <v>29</v>
      </c>
      <c r="E26">
        <v>27</v>
      </c>
      <c r="F26" t="str">
        <f t="shared" si="0"/>
        <v>Teenager</v>
      </c>
      <c r="G26" t="s">
        <v>143</v>
      </c>
      <c r="H26" t="str">
        <f t="shared" si="1"/>
        <v>Dec</v>
      </c>
      <c r="I26" t="s">
        <v>60</v>
      </c>
      <c r="J26" t="s">
        <v>79</v>
      </c>
      <c r="K26" t="s">
        <v>144</v>
      </c>
      <c r="L26" t="s">
        <v>56</v>
      </c>
      <c r="M26" t="s">
        <v>50</v>
      </c>
      <c r="N26">
        <v>2</v>
      </c>
      <c r="O26" t="s">
        <v>22</v>
      </c>
      <c r="P26">
        <v>3853.8</v>
      </c>
      <c r="Q26" t="s">
        <v>42</v>
      </c>
      <c r="R26" t="s">
        <v>43</v>
      </c>
      <c r="S26">
        <v>302001</v>
      </c>
      <c r="T26" t="s">
        <v>25</v>
      </c>
      <c r="U26" t="s">
        <v>26</v>
      </c>
    </row>
    <row r="27" spans="1:21" x14ac:dyDescent="0.3">
      <c r="A27">
        <v>26</v>
      </c>
      <c r="B27" t="s">
        <v>145</v>
      </c>
      <c r="C27" t="s">
        <v>146</v>
      </c>
      <c r="D27" t="s">
        <v>29</v>
      </c>
      <c r="E27">
        <v>43</v>
      </c>
      <c r="F27" t="str">
        <f t="shared" si="0"/>
        <v>Adult</v>
      </c>
      <c r="G27" t="s">
        <v>147</v>
      </c>
      <c r="H27" t="str">
        <f t="shared" si="1"/>
        <v>Oct</v>
      </c>
      <c r="I27" t="s">
        <v>60</v>
      </c>
      <c r="J27" t="s">
        <v>79</v>
      </c>
      <c r="K27" t="s">
        <v>148</v>
      </c>
      <c r="L27" t="s">
        <v>107</v>
      </c>
      <c r="M27" t="s">
        <v>85</v>
      </c>
      <c r="N27">
        <v>4</v>
      </c>
      <c r="O27" t="s">
        <v>22</v>
      </c>
      <c r="P27">
        <v>1722.89</v>
      </c>
      <c r="Q27" t="s">
        <v>35</v>
      </c>
      <c r="R27" t="s">
        <v>36</v>
      </c>
      <c r="S27">
        <v>560001</v>
      </c>
      <c r="T27" t="s">
        <v>25</v>
      </c>
      <c r="U27" t="s">
        <v>26</v>
      </c>
    </row>
    <row r="28" spans="1:21" x14ac:dyDescent="0.3">
      <c r="A28">
        <v>27</v>
      </c>
      <c r="B28" t="s">
        <v>149</v>
      </c>
      <c r="C28" t="s">
        <v>150</v>
      </c>
      <c r="D28" t="s">
        <v>29</v>
      </c>
      <c r="E28">
        <v>23</v>
      </c>
      <c r="F28" t="str">
        <f t="shared" si="0"/>
        <v>Teenager</v>
      </c>
      <c r="G28" t="s">
        <v>151</v>
      </c>
      <c r="H28" t="str">
        <f t="shared" si="1"/>
        <v>Jul</v>
      </c>
      <c r="I28" t="s">
        <v>60</v>
      </c>
      <c r="J28" t="s">
        <v>79</v>
      </c>
      <c r="K28" t="s">
        <v>152</v>
      </c>
      <c r="L28" t="s">
        <v>107</v>
      </c>
      <c r="M28" t="s">
        <v>50</v>
      </c>
      <c r="N28">
        <v>1</v>
      </c>
      <c r="O28" t="s">
        <v>22</v>
      </c>
      <c r="P28">
        <v>3857.64</v>
      </c>
      <c r="Q28" t="s">
        <v>23</v>
      </c>
      <c r="R28" t="s">
        <v>24</v>
      </c>
      <c r="S28">
        <v>400001</v>
      </c>
      <c r="T28" t="s">
        <v>25</v>
      </c>
      <c r="U28" t="s">
        <v>26</v>
      </c>
    </row>
    <row r="29" spans="1:21" x14ac:dyDescent="0.3">
      <c r="A29">
        <v>28</v>
      </c>
      <c r="B29" t="s">
        <v>153</v>
      </c>
      <c r="C29" t="s">
        <v>154</v>
      </c>
      <c r="D29" t="s">
        <v>15</v>
      </c>
      <c r="E29">
        <v>25</v>
      </c>
      <c r="F29" t="str">
        <f t="shared" si="0"/>
        <v>Teenager</v>
      </c>
      <c r="G29" t="s">
        <v>155</v>
      </c>
      <c r="H29" t="str">
        <f t="shared" si="1"/>
        <v>Aug</v>
      </c>
      <c r="I29" t="s">
        <v>60</v>
      </c>
      <c r="J29" t="s">
        <v>18</v>
      </c>
      <c r="K29" t="s">
        <v>156</v>
      </c>
      <c r="L29" t="s">
        <v>62</v>
      </c>
      <c r="M29" t="s">
        <v>21</v>
      </c>
      <c r="N29">
        <v>2</v>
      </c>
      <c r="O29" t="s">
        <v>22</v>
      </c>
      <c r="P29">
        <v>472.12</v>
      </c>
      <c r="Q29" t="s">
        <v>51</v>
      </c>
      <c r="R29" t="s">
        <v>51</v>
      </c>
      <c r="S29">
        <v>110001</v>
      </c>
      <c r="T29" t="s">
        <v>25</v>
      </c>
      <c r="U29" t="s">
        <v>26</v>
      </c>
    </row>
    <row r="30" spans="1:21" x14ac:dyDescent="0.3">
      <c r="A30">
        <v>29</v>
      </c>
      <c r="B30" t="s">
        <v>157</v>
      </c>
      <c r="C30" t="s">
        <v>158</v>
      </c>
      <c r="D30" t="s">
        <v>15</v>
      </c>
      <c r="E30">
        <v>23</v>
      </c>
      <c r="F30" t="str">
        <f t="shared" si="0"/>
        <v>Teenager</v>
      </c>
      <c r="G30" t="s">
        <v>159</v>
      </c>
      <c r="H30" t="str">
        <f t="shared" si="1"/>
        <v>Aug</v>
      </c>
      <c r="I30" t="s">
        <v>60</v>
      </c>
      <c r="J30" t="s">
        <v>79</v>
      </c>
      <c r="K30" t="s">
        <v>160</v>
      </c>
      <c r="L30" t="s">
        <v>73</v>
      </c>
      <c r="M30" t="s">
        <v>85</v>
      </c>
      <c r="N30">
        <v>2</v>
      </c>
      <c r="O30" t="s">
        <v>22</v>
      </c>
      <c r="P30">
        <v>4857.95</v>
      </c>
      <c r="Q30" t="s">
        <v>74</v>
      </c>
      <c r="R30" t="s">
        <v>75</v>
      </c>
      <c r="S30">
        <v>226001</v>
      </c>
      <c r="T30" t="s">
        <v>25</v>
      </c>
      <c r="U30" t="s">
        <v>44</v>
      </c>
    </row>
    <row r="31" spans="1:21" x14ac:dyDescent="0.3">
      <c r="A31">
        <v>30</v>
      </c>
      <c r="B31" t="s">
        <v>161</v>
      </c>
      <c r="C31" t="s">
        <v>162</v>
      </c>
      <c r="D31" t="s">
        <v>29</v>
      </c>
      <c r="E31">
        <v>26</v>
      </c>
      <c r="F31" t="str">
        <f t="shared" si="0"/>
        <v>Teenager</v>
      </c>
      <c r="G31" t="s">
        <v>163</v>
      </c>
      <c r="H31" t="str">
        <f t="shared" si="1"/>
        <v>Mar</v>
      </c>
      <c r="I31" t="s">
        <v>60</v>
      </c>
      <c r="J31" t="s">
        <v>79</v>
      </c>
      <c r="K31" t="s">
        <v>164</v>
      </c>
      <c r="L31" t="s">
        <v>62</v>
      </c>
      <c r="M31" t="s">
        <v>34</v>
      </c>
      <c r="N31">
        <v>5</v>
      </c>
      <c r="O31" t="s">
        <v>22</v>
      </c>
      <c r="P31">
        <v>1519.98</v>
      </c>
      <c r="Q31" t="s">
        <v>23</v>
      </c>
      <c r="R31" t="s">
        <v>24</v>
      </c>
      <c r="S31">
        <v>400001</v>
      </c>
      <c r="T31" t="s">
        <v>25</v>
      </c>
      <c r="U31" t="s">
        <v>26</v>
      </c>
    </row>
    <row r="32" spans="1:21" x14ac:dyDescent="0.3">
      <c r="A32">
        <v>31</v>
      </c>
      <c r="B32" t="s">
        <v>165</v>
      </c>
      <c r="C32" t="s">
        <v>166</v>
      </c>
      <c r="D32" t="s">
        <v>29</v>
      </c>
      <c r="E32">
        <v>40</v>
      </c>
      <c r="F32" t="str">
        <f t="shared" si="0"/>
        <v>Adult</v>
      </c>
      <c r="G32" t="s">
        <v>167</v>
      </c>
      <c r="H32" t="str">
        <f t="shared" si="1"/>
        <v>Jan</v>
      </c>
      <c r="I32" t="s">
        <v>60</v>
      </c>
      <c r="J32" t="s">
        <v>18</v>
      </c>
      <c r="K32" t="s">
        <v>168</v>
      </c>
      <c r="L32" t="s">
        <v>107</v>
      </c>
      <c r="M32" t="s">
        <v>50</v>
      </c>
      <c r="N32">
        <v>3</v>
      </c>
      <c r="O32" t="s">
        <v>22</v>
      </c>
      <c r="P32">
        <v>830.5</v>
      </c>
      <c r="Q32" t="s">
        <v>23</v>
      </c>
      <c r="R32" t="s">
        <v>24</v>
      </c>
      <c r="S32">
        <v>400001</v>
      </c>
      <c r="T32" t="s">
        <v>25</v>
      </c>
      <c r="U32" t="s">
        <v>26</v>
      </c>
    </row>
    <row r="33" spans="1:21" x14ac:dyDescent="0.3">
      <c r="A33">
        <v>32</v>
      </c>
      <c r="B33" t="s">
        <v>169</v>
      </c>
      <c r="C33" t="s">
        <v>170</v>
      </c>
      <c r="D33" t="s">
        <v>29</v>
      </c>
      <c r="E33">
        <v>55</v>
      </c>
      <c r="F33" t="str">
        <f t="shared" si="0"/>
        <v>Senior</v>
      </c>
      <c r="G33" t="s">
        <v>171</v>
      </c>
      <c r="H33" t="str">
        <f t="shared" si="1"/>
        <v>Jul</v>
      </c>
      <c r="I33" t="s">
        <v>17</v>
      </c>
      <c r="J33" t="s">
        <v>18</v>
      </c>
      <c r="K33" t="s">
        <v>172</v>
      </c>
      <c r="L33" t="s">
        <v>56</v>
      </c>
      <c r="M33" t="s">
        <v>21</v>
      </c>
      <c r="N33">
        <v>5</v>
      </c>
      <c r="O33" t="s">
        <v>22</v>
      </c>
      <c r="P33">
        <v>4834.6899999999996</v>
      </c>
      <c r="Q33" t="s">
        <v>23</v>
      </c>
      <c r="R33" t="s">
        <v>24</v>
      </c>
      <c r="S33">
        <v>400001</v>
      </c>
      <c r="T33" t="s">
        <v>25</v>
      </c>
      <c r="U33" t="s">
        <v>44</v>
      </c>
    </row>
    <row r="34" spans="1:21" x14ac:dyDescent="0.3">
      <c r="A34">
        <v>33</v>
      </c>
      <c r="B34" t="s">
        <v>173</v>
      </c>
      <c r="C34" t="s">
        <v>174</v>
      </c>
      <c r="D34" t="s">
        <v>29</v>
      </c>
      <c r="E34">
        <v>40</v>
      </c>
      <c r="F34" t="str">
        <f t="shared" si="0"/>
        <v>Adult</v>
      </c>
      <c r="G34" t="s">
        <v>175</v>
      </c>
      <c r="H34" t="str">
        <f t="shared" si="1"/>
        <v>Apr</v>
      </c>
      <c r="I34" t="s">
        <v>60</v>
      </c>
      <c r="J34" t="s">
        <v>40</v>
      </c>
      <c r="K34" t="s">
        <v>176</v>
      </c>
      <c r="L34" t="s">
        <v>56</v>
      </c>
      <c r="M34" t="s">
        <v>21</v>
      </c>
      <c r="N34">
        <v>4</v>
      </c>
      <c r="O34" t="s">
        <v>22</v>
      </c>
      <c r="P34">
        <v>808.66</v>
      </c>
      <c r="Q34" t="s">
        <v>23</v>
      </c>
      <c r="R34" t="s">
        <v>24</v>
      </c>
      <c r="S34">
        <v>400001</v>
      </c>
      <c r="T34" t="s">
        <v>25</v>
      </c>
      <c r="U34" t="s">
        <v>44</v>
      </c>
    </row>
    <row r="35" spans="1:21" x14ac:dyDescent="0.3">
      <c r="A35">
        <v>34</v>
      </c>
      <c r="B35" t="s">
        <v>177</v>
      </c>
      <c r="C35" t="s">
        <v>178</v>
      </c>
      <c r="D35" t="s">
        <v>15</v>
      </c>
      <c r="E35">
        <v>24</v>
      </c>
      <c r="F35" t="str">
        <f t="shared" si="0"/>
        <v>Teenager</v>
      </c>
      <c r="G35" t="s">
        <v>179</v>
      </c>
      <c r="H35" t="str">
        <f t="shared" si="1"/>
        <v>Apr</v>
      </c>
      <c r="I35" t="s">
        <v>60</v>
      </c>
      <c r="J35" t="s">
        <v>31</v>
      </c>
      <c r="K35" t="s">
        <v>180</v>
      </c>
      <c r="L35" t="s">
        <v>33</v>
      </c>
      <c r="M35" t="s">
        <v>85</v>
      </c>
      <c r="N35">
        <v>3</v>
      </c>
      <c r="O35" t="s">
        <v>22</v>
      </c>
      <c r="P35">
        <v>4800.04</v>
      </c>
      <c r="Q35" t="s">
        <v>23</v>
      </c>
      <c r="R35" t="s">
        <v>24</v>
      </c>
      <c r="S35">
        <v>400001</v>
      </c>
      <c r="T35" t="s">
        <v>25</v>
      </c>
      <c r="U35" t="s">
        <v>44</v>
      </c>
    </row>
    <row r="36" spans="1:21" x14ac:dyDescent="0.3">
      <c r="A36">
        <v>35</v>
      </c>
      <c r="B36" t="s">
        <v>181</v>
      </c>
      <c r="C36" t="s">
        <v>182</v>
      </c>
      <c r="D36" t="s">
        <v>15</v>
      </c>
      <c r="E36">
        <v>26</v>
      </c>
      <c r="F36" t="str">
        <f t="shared" si="0"/>
        <v>Teenager</v>
      </c>
      <c r="G36" t="s">
        <v>183</v>
      </c>
      <c r="H36" t="str">
        <f t="shared" si="1"/>
        <v>Jul</v>
      </c>
      <c r="I36" t="s">
        <v>60</v>
      </c>
      <c r="J36" t="s">
        <v>31</v>
      </c>
      <c r="K36" t="s">
        <v>184</v>
      </c>
      <c r="L36" t="s">
        <v>62</v>
      </c>
      <c r="M36" t="s">
        <v>85</v>
      </c>
      <c r="N36">
        <v>4</v>
      </c>
      <c r="O36" t="s">
        <v>22</v>
      </c>
      <c r="P36">
        <v>1205.3599999999999</v>
      </c>
      <c r="Q36" t="s">
        <v>42</v>
      </c>
      <c r="R36" t="s">
        <v>43</v>
      </c>
      <c r="S36">
        <v>302001</v>
      </c>
      <c r="T36" t="s">
        <v>25</v>
      </c>
      <c r="U36" t="s">
        <v>44</v>
      </c>
    </row>
    <row r="37" spans="1:21" x14ac:dyDescent="0.3">
      <c r="A37">
        <v>36</v>
      </c>
      <c r="B37" t="s">
        <v>185</v>
      </c>
      <c r="C37" t="s">
        <v>186</v>
      </c>
      <c r="D37" t="s">
        <v>15</v>
      </c>
      <c r="E37">
        <v>57</v>
      </c>
      <c r="F37" t="str">
        <f t="shared" si="0"/>
        <v>Senior</v>
      </c>
      <c r="G37" t="s">
        <v>187</v>
      </c>
      <c r="H37" t="str">
        <f t="shared" si="1"/>
        <v>Apr</v>
      </c>
      <c r="I37" t="s">
        <v>60</v>
      </c>
      <c r="J37" t="s">
        <v>101</v>
      </c>
      <c r="K37" t="s">
        <v>188</v>
      </c>
      <c r="L37" t="s">
        <v>56</v>
      </c>
      <c r="M37" t="s">
        <v>34</v>
      </c>
      <c r="N37">
        <v>3</v>
      </c>
      <c r="O37" t="s">
        <v>22</v>
      </c>
      <c r="P37">
        <v>1979.63</v>
      </c>
      <c r="Q37" t="s">
        <v>23</v>
      </c>
      <c r="R37" t="s">
        <v>24</v>
      </c>
      <c r="S37">
        <v>400001</v>
      </c>
      <c r="T37" t="s">
        <v>25</v>
      </c>
      <c r="U37" t="s">
        <v>26</v>
      </c>
    </row>
    <row r="38" spans="1:21" x14ac:dyDescent="0.3">
      <c r="A38">
        <v>37</v>
      </c>
      <c r="B38" t="s">
        <v>189</v>
      </c>
      <c r="C38" t="s">
        <v>190</v>
      </c>
      <c r="D38" t="s">
        <v>15</v>
      </c>
      <c r="E38">
        <v>58</v>
      </c>
      <c r="F38" t="str">
        <f t="shared" si="0"/>
        <v>Senior</v>
      </c>
      <c r="G38" t="s">
        <v>191</v>
      </c>
      <c r="H38" t="str">
        <f t="shared" si="1"/>
        <v>Sep</v>
      </c>
      <c r="I38" t="s">
        <v>60</v>
      </c>
      <c r="J38" t="s">
        <v>101</v>
      </c>
      <c r="K38" t="s">
        <v>192</v>
      </c>
      <c r="L38" t="s">
        <v>33</v>
      </c>
      <c r="M38" t="s">
        <v>34</v>
      </c>
      <c r="N38">
        <v>3</v>
      </c>
      <c r="O38" t="s">
        <v>22</v>
      </c>
      <c r="P38">
        <v>1638.89</v>
      </c>
      <c r="Q38" t="s">
        <v>74</v>
      </c>
      <c r="R38" t="s">
        <v>75</v>
      </c>
      <c r="S38">
        <v>226001</v>
      </c>
      <c r="T38" t="s">
        <v>25</v>
      </c>
      <c r="U38" t="s">
        <v>26</v>
      </c>
    </row>
    <row r="39" spans="1:21" x14ac:dyDescent="0.3">
      <c r="A39">
        <v>38</v>
      </c>
      <c r="B39" t="s">
        <v>193</v>
      </c>
      <c r="C39" t="s">
        <v>194</v>
      </c>
      <c r="D39" t="s">
        <v>29</v>
      </c>
      <c r="E39">
        <v>30</v>
      </c>
      <c r="F39" t="str">
        <f t="shared" si="0"/>
        <v>Adult</v>
      </c>
      <c r="G39" t="s">
        <v>195</v>
      </c>
      <c r="H39" t="str">
        <f t="shared" si="1"/>
        <v>Oct</v>
      </c>
      <c r="I39" t="s">
        <v>60</v>
      </c>
      <c r="J39" t="s">
        <v>71</v>
      </c>
      <c r="K39" t="s">
        <v>196</v>
      </c>
      <c r="L39" t="s">
        <v>56</v>
      </c>
      <c r="M39" t="s">
        <v>85</v>
      </c>
      <c r="N39">
        <v>3</v>
      </c>
      <c r="O39" t="s">
        <v>22</v>
      </c>
      <c r="P39">
        <v>2499.23</v>
      </c>
      <c r="Q39" t="s">
        <v>23</v>
      </c>
      <c r="R39" t="s">
        <v>24</v>
      </c>
      <c r="S39">
        <v>400001</v>
      </c>
      <c r="T39" t="s">
        <v>25</v>
      </c>
      <c r="U39" t="s">
        <v>26</v>
      </c>
    </row>
    <row r="40" spans="1:21" x14ac:dyDescent="0.3">
      <c r="A40">
        <v>39</v>
      </c>
      <c r="B40" t="s">
        <v>197</v>
      </c>
      <c r="C40" t="s">
        <v>198</v>
      </c>
      <c r="D40" t="s">
        <v>15</v>
      </c>
      <c r="E40">
        <v>23</v>
      </c>
      <c r="F40" t="str">
        <f t="shared" si="0"/>
        <v>Teenager</v>
      </c>
      <c r="G40" t="s">
        <v>199</v>
      </c>
      <c r="H40" t="str">
        <f t="shared" si="1"/>
        <v>Mar</v>
      </c>
      <c r="I40" t="s">
        <v>60</v>
      </c>
      <c r="J40" t="s">
        <v>31</v>
      </c>
      <c r="K40" t="s">
        <v>200</v>
      </c>
      <c r="L40" t="s">
        <v>73</v>
      </c>
      <c r="M40" t="s">
        <v>85</v>
      </c>
      <c r="N40">
        <v>4</v>
      </c>
      <c r="O40" t="s">
        <v>22</v>
      </c>
      <c r="P40">
        <v>2585.64</v>
      </c>
      <c r="Q40" t="s">
        <v>74</v>
      </c>
      <c r="R40" t="s">
        <v>75</v>
      </c>
      <c r="S40">
        <v>226001</v>
      </c>
      <c r="T40" t="s">
        <v>25</v>
      </c>
      <c r="U40" t="s">
        <v>26</v>
      </c>
    </row>
    <row r="41" spans="1:21" x14ac:dyDescent="0.3">
      <c r="A41">
        <v>40</v>
      </c>
      <c r="B41" t="s">
        <v>201</v>
      </c>
      <c r="C41" t="s">
        <v>202</v>
      </c>
      <c r="D41" t="s">
        <v>15</v>
      </c>
      <c r="E41">
        <v>18</v>
      </c>
      <c r="F41" t="str">
        <f t="shared" si="0"/>
        <v>Teenager</v>
      </c>
      <c r="G41" t="s">
        <v>203</v>
      </c>
      <c r="H41" t="str">
        <f t="shared" si="1"/>
        <v>Oct</v>
      </c>
      <c r="I41" t="s">
        <v>60</v>
      </c>
      <c r="J41" t="s">
        <v>79</v>
      </c>
      <c r="K41" t="s">
        <v>204</v>
      </c>
      <c r="L41" t="s">
        <v>73</v>
      </c>
      <c r="M41" t="s">
        <v>85</v>
      </c>
      <c r="N41">
        <v>3</v>
      </c>
      <c r="O41" t="s">
        <v>22</v>
      </c>
      <c r="P41">
        <v>4004.81</v>
      </c>
      <c r="Q41" t="s">
        <v>23</v>
      </c>
      <c r="R41" t="s">
        <v>24</v>
      </c>
      <c r="S41">
        <v>400001</v>
      </c>
      <c r="T41" t="s">
        <v>25</v>
      </c>
      <c r="U41" t="s">
        <v>26</v>
      </c>
    </row>
    <row r="42" spans="1:21" x14ac:dyDescent="0.3">
      <c r="A42">
        <v>41</v>
      </c>
      <c r="B42" t="s">
        <v>205</v>
      </c>
      <c r="C42" t="s">
        <v>206</v>
      </c>
      <c r="D42" t="s">
        <v>15</v>
      </c>
      <c r="E42">
        <v>43</v>
      </c>
      <c r="F42" t="str">
        <f t="shared" si="0"/>
        <v>Adult</v>
      </c>
      <c r="G42" t="s">
        <v>207</v>
      </c>
      <c r="H42" t="str">
        <f t="shared" si="1"/>
        <v>Jan</v>
      </c>
      <c r="I42" t="s">
        <v>60</v>
      </c>
      <c r="J42" t="s">
        <v>71</v>
      </c>
      <c r="K42" t="s">
        <v>208</v>
      </c>
      <c r="L42" t="s">
        <v>33</v>
      </c>
      <c r="M42" t="s">
        <v>50</v>
      </c>
      <c r="N42">
        <v>1</v>
      </c>
      <c r="O42" t="s">
        <v>22</v>
      </c>
      <c r="P42">
        <v>1421.17</v>
      </c>
      <c r="Q42" t="s">
        <v>35</v>
      </c>
      <c r="R42" t="s">
        <v>36</v>
      </c>
      <c r="S42">
        <v>560001</v>
      </c>
      <c r="T42" t="s">
        <v>25</v>
      </c>
      <c r="U42" t="s">
        <v>26</v>
      </c>
    </row>
    <row r="43" spans="1:21" x14ac:dyDescent="0.3">
      <c r="A43">
        <v>42</v>
      </c>
      <c r="B43" t="s">
        <v>209</v>
      </c>
      <c r="C43" t="s">
        <v>210</v>
      </c>
      <c r="D43" t="s">
        <v>29</v>
      </c>
      <c r="E43">
        <v>29</v>
      </c>
      <c r="F43" t="str">
        <f t="shared" si="0"/>
        <v>Teenager</v>
      </c>
      <c r="G43" t="s">
        <v>30</v>
      </c>
      <c r="H43" t="str">
        <f t="shared" si="1"/>
        <v>Mar</v>
      </c>
      <c r="I43" t="s">
        <v>60</v>
      </c>
      <c r="J43" t="s">
        <v>31</v>
      </c>
      <c r="K43" t="s">
        <v>211</v>
      </c>
      <c r="L43" t="s">
        <v>20</v>
      </c>
      <c r="M43" t="s">
        <v>85</v>
      </c>
      <c r="N43">
        <v>1</v>
      </c>
      <c r="O43" t="s">
        <v>22</v>
      </c>
      <c r="P43">
        <v>3973.39</v>
      </c>
      <c r="Q43" t="s">
        <v>23</v>
      </c>
      <c r="R43" t="s">
        <v>24</v>
      </c>
      <c r="S43">
        <v>400001</v>
      </c>
      <c r="T43" t="s">
        <v>25</v>
      </c>
      <c r="U43" t="s">
        <v>44</v>
      </c>
    </row>
    <row r="44" spans="1:21" x14ac:dyDescent="0.3">
      <c r="A44">
        <v>43</v>
      </c>
      <c r="B44" t="s">
        <v>212</v>
      </c>
      <c r="C44" t="s">
        <v>213</v>
      </c>
      <c r="D44" t="s">
        <v>29</v>
      </c>
      <c r="E44">
        <v>24</v>
      </c>
      <c r="F44" t="str">
        <f t="shared" si="0"/>
        <v>Teenager</v>
      </c>
      <c r="G44" t="s">
        <v>214</v>
      </c>
      <c r="H44" t="str">
        <f t="shared" si="1"/>
        <v>Jul</v>
      </c>
      <c r="I44" t="s">
        <v>60</v>
      </c>
      <c r="J44" t="s">
        <v>71</v>
      </c>
      <c r="K44" t="s">
        <v>215</v>
      </c>
      <c r="L44" t="s">
        <v>107</v>
      </c>
      <c r="M44" t="s">
        <v>50</v>
      </c>
      <c r="N44">
        <v>4</v>
      </c>
      <c r="O44" t="s">
        <v>22</v>
      </c>
      <c r="P44">
        <v>3361.76</v>
      </c>
      <c r="Q44" t="s">
        <v>35</v>
      </c>
      <c r="R44" t="s">
        <v>36</v>
      </c>
      <c r="S44">
        <v>560001</v>
      </c>
      <c r="T44" t="s">
        <v>25</v>
      </c>
      <c r="U44" t="s">
        <v>26</v>
      </c>
    </row>
    <row r="45" spans="1:21" x14ac:dyDescent="0.3">
      <c r="A45">
        <v>44</v>
      </c>
      <c r="B45" t="s">
        <v>216</v>
      </c>
      <c r="C45" t="s">
        <v>217</v>
      </c>
      <c r="D45" t="s">
        <v>15</v>
      </c>
      <c r="E45">
        <v>59</v>
      </c>
      <c r="F45" t="str">
        <f t="shared" si="0"/>
        <v>Senior</v>
      </c>
      <c r="G45" t="s">
        <v>218</v>
      </c>
      <c r="H45" t="str">
        <f t="shared" si="1"/>
        <v>Mar</v>
      </c>
      <c r="I45" t="s">
        <v>60</v>
      </c>
      <c r="J45" t="s">
        <v>79</v>
      </c>
      <c r="K45" t="s">
        <v>219</v>
      </c>
      <c r="L45" t="s">
        <v>62</v>
      </c>
      <c r="M45" t="s">
        <v>34</v>
      </c>
      <c r="N45">
        <v>4</v>
      </c>
      <c r="O45" t="s">
        <v>22</v>
      </c>
      <c r="P45">
        <v>3550.45</v>
      </c>
      <c r="Q45" t="s">
        <v>51</v>
      </c>
      <c r="R45" t="s">
        <v>51</v>
      </c>
      <c r="S45">
        <v>110001</v>
      </c>
      <c r="T45" t="s">
        <v>25</v>
      </c>
      <c r="U45" t="s">
        <v>26</v>
      </c>
    </row>
    <row r="46" spans="1:21" x14ac:dyDescent="0.3">
      <c r="A46">
        <v>45</v>
      </c>
      <c r="B46" t="s">
        <v>220</v>
      </c>
      <c r="C46" t="s">
        <v>221</v>
      </c>
      <c r="D46" t="s">
        <v>29</v>
      </c>
      <c r="E46">
        <v>22</v>
      </c>
      <c r="F46" t="str">
        <f t="shared" si="0"/>
        <v>Teenager</v>
      </c>
      <c r="G46" t="s">
        <v>222</v>
      </c>
      <c r="H46" t="str">
        <f t="shared" si="1"/>
        <v>Aug</v>
      </c>
      <c r="I46" t="s">
        <v>60</v>
      </c>
      <c r="J46" t="s">
        <v>79</v>
      </c>
      <c r="K46" t="s">
        <v>223</v>
      </c>
      <c r="L46" t="s">
        <v>62</v>
      </c>
      <c r="M46" t="s">
        <v>34</v>
      </c>
      <c r="N46">
        <v>4</v>
      </c>
      <c r="O46" t="s">
        <v>22</v>
      </c>
      <c r="P46">
        <v>2183.89</v>
      </c>
      <c r="Q46" t="s">
        <v>35</v>
      </c>
      <c r="R46" t="s">
        <v>36</v>
      </c>
      <c r="S46">
        <v>560001</v>
      </c>
      <c r="T46" t="s">
        <v>25</v>
      </c>
      <c r="U46" t="s">
        <v>44</v>
      </c>
    </row>
    <row r="47" spans="1:21" x14ac:dyDescent="0.3">
      <c r="A47">
        <v>46</v>
      </c>
      <c r="B47" t="s">
        <v>224</v>
      </c>
      <c r="C47" t="s">
        <v>225</v>
      </c>
      <c r="D47" t="s">
        <v>29</v>
      </c>
      <c r="E47">
        <v>35</v>
      </c>
      <c r="F47" t="str">
        <f t="shared" si="0"/>
        <v>Adult</v>
      </c>
      <c r="G47" t="s">
        <v>226</v>
      </c>
      <c r="H47" t="str">
        <f t="shared" si="1"/>
        <v>Jul</v>
      </c>
      <c r="I47" t="s">
        <v>60</v>
      </c>
      <c r="J47" t="s">
        <v>40</v>
      </c>
      <c r="K47" t="s">
        <v>227</v>
      </c>
      <c r="L47" t="s">
        <v>107</v>
      </c>
      <c r="M47" t="s">
        <v>21</v>
      </c>
      <c r="N47">
        <v>5</v>
      </c>
      <c r="O47" t="s">
        <v>22</v>
      </c>
      <c r="P47">
        <v>2520.44</v>
      </c>
      <c r="Q47" t="s">
        <v>74</v>
      </c>
      <c r="R47" t="s">
        <v>75</v>
      </c>
      <c r="S47">
        <v>226001</v>
      </c>
      <c r="T47" t="s">
        <v>25</v>
      </c>
      <c r="U47" t="s">
        <v>26</v>
      </c>
    </row>
    <row r="48" spans="1:21" x14ac:dyDescent="0.3">
      <c r="A48">
        <v>47</v>
      </c>
      <c r="B48" t="s">
        <v>228</v>
      </c>
      <c r="C48" t="s">
        <v>229</v>
      </c>
      <c r="D48" t="s">
        <v>29</v>
      </c>
      <c r="E48">
        <v>23</v>
      </c>
      <c r="F48" t="str">
        <f t="shared" si="0"/>
        <v>Teenager</v>
      </c>
      <c r="G48" t="s">
        <v>230</v>
      </c>
      <c r="H48" t="str">
        <f t="shared" si="1"/>
        <v>Jan</v>
      </c>
      <c r="I48" t="s">
        <v>60</v>
      </c>
      <c r="J48" t="s">
        <v>18</v>
      </c>
      <c r="K48" t="s">
        <v>231</v>
      </c>
      <c r="L48" t="s">
        <v>20</v>
      </c>
      <c r="M48" t="s">
        <v>85</v>
      </c>
      <c r="N48">
        <v>4</v>
      </c>
      <c r="O48" t="s">
        <v>22</v>
      </c>
      <c r="P48">
        <v>765.71</v>
      </c>
      <c r="Q48" t="s">
        <v>42</v>
      </c>
      <c r="R48" t="s">
        <v>43</v>
      </c>
      <c r="S48">
        <v>302001</v>
      </c>
      <c r="T48" t="s">
        <v>25</v>
      </c>
      <c r="U48" t="s">
        <v>26</v>
      </c>
    </row>
    <row r="49" spans="1:21" x14ac:dyDescent="0.3">
      <c r="A49">
        <v>48</v>
      </c>
      <c r="B49" t="s">
        <v>232</v>
      </c>
      <c r="C49" t="s">
        <v>233</v>
      </c>
      <c r="D49" t="s">
        <v>29</v>
      </c>
      <c r="E49">
        <v>24</v>
      </c>
      <c r="F49" t="str">
        <f t="shared" si="0"/>
        <v>Teenager</v>
      </c>
      <c r="G49" t="s">
        <v>234</v>
      </c>
      <c r="H49" t="str">
        <f t="shared" si="1"/>
        <v>Aug</v>
      </c>
      <c r="I49" t="s">
        <v>60</v>
      </c>
      <c r="J49" t="s">
        <v>101</v>
      </c>
      <c r="K49" t="s">
        <v>235</v>
      </c>
      <c r="L49" t="s">
        <v>107</v>
      </c>
      <c r="M49" t="s">
        <v>34</v>
      </c>
      <c r="N49">
        <v>1</v>
      </c>
      <c r="O49" t="s">
        <v>22</v>
      </c>
      <c r="P49">
        <v>2995.99</v>
      </c>
      <c r="Q49" t="s">
        <v>42</v>
      </c>
      <c r="R49" t="s">
        <v>43</v>
      </c>
      <c r="S49">
        <v>302001</v>
      </c>
      <c r="T49" t="s">
        <v>25</v>
      </c>
      <c r="U49" t="s">
        <v>26</v>
      </c>
    </row>
    <row r="50" spans="1:21" x14ac:dyDescent="0.3">
      <c r="A50">
        <v>49</v>
      </c>
      <c r="B50" t="s">
        <v>236</v>
      </c>
      <c r="C50" t="s">
        <v>237</v>
      </c>
      <c r="D50" t="s">
        <v>29</v>
      </c>
      <c r="E50">
        <v>57</v>
      </c>
      <c r="F50" t="str">
        <f t="shared" si="0"/>
        <v>Senior</v>
      </c>
      <c r="G50" t="s">
        <v>238</v>
      </c>
      <c r="H50" t="str">
        <f t="shared" si="1"/>
        <v>Feb</v>
      </c>
      <c r="I50" t="s">
        <v>48</v>
      </c>
      <c r="J50" t="s">
        <v>18</v>
      </c>
      <c r="K50" t="s">
        <v>239</v>
      </c>
      <c r="L50" t="s">
        <v>62</v>
      </c>
      <c r="M50" t="s">
        <v>34</v>
      </c>
      <c r="N50">
        <v>3</v>
      </c>
      <c r="O50" t="s">
        <v>22</v>
      </c>
      <c r="P50">
        <v>2442.4899999999998</v>
      </c>
      <c r="Q50" t="s">
        <v>35</v>
      </c>
      <c r="R50" t="s">
        <v>36</v>
      </c>
      <c r="S50">
        <v>560001</v>
      </c>
      <c r="T50" t="s">
        <v>25</v>
      </c>
      <c r="U50" t="s">
        <v>44</v>
      </c>
    </row>
    <row r="51" spans="1:21" x14ac:dyDescent="0.3">
      <c r="A51">
        <v>50</v>
      </c>
      <c r="B51" t="s">
        <v>240</v>
      </c>
      <c r="C51" t="s">
        <v>241</v>
      </c>
      <c r="D51" t="s">
        <v>29</v>
      </c>
      <c r="E51">
        <v>34</v>
      </c>
      <c r="F51" t="str">
        <f t="shared" si="0"/>
        <v>Adult</v>
      </c>
      <c r="G51" t="s">
        <v>242</v>
      </c>
      <c r="H51" t="str">
        <f t="shared" si="1"/>
        <v>May</v>
      </c>
      <c r="I51" t="s">
        <v>17</v>
      </c>
      <c r="J51" t="s">
        <v>40</v>
      </c>
      <c r="K51" t="s">
        <v>243</v>
      </c>
      <c r="L51" t="s">
        <v>56</v>
      </c>
      <c r="M51" t="s">
        <v>50</v>
      </c>
      <c r="N51">
        <v>3</v>
      </c>
      <c r="O51" t="s">
        <v>22</v>
      </c>
      <c r="P51">
        <v>3737.47</v>
      </c>
      <c r="Q51" t="s">
        <v>23</v>
      </c>
      <c r="R51" t="s">
        <v>24</v>
      </c>
      <c r="S51">
        <v>400001</v>
      </c>
      <c r="T51" t="s">
        <v>25</v>
      </c>
      <c r="U51" t="s">
        <v>44</v>
      </c>
    </row>
    <row r="52" spans="1:21" x14ac:dyDescent="0.3">
      <c r="A52">
        <v>51</v>
      </c>
      <c r="B52" t="s">
        <v>244</v>
      </c>
      <c r="C52" t="s">
        <v>245</v>
      </c>
      <c r="D52" t="s">
        <v>15</v>
      </c>
      <c r="E52">
        <v>57</v>
      </c>
      <c r="F52" t="str">
        <f t="shared" si="0"/>
        <v>Senior</v>
      </c>
      <c r="G52" t="s">
        <v>246</v>
      </c>
      <c r="H52" t="str">
        <f t="shared" si="1"/>
        <v>Nov</v>
      </c>
      <c r="I52" t="s">
        <v>60</v>
      </c>
      <c r="J52" t="s">
        <v>31</v>
      </c>
      <c r="K52" t="s">
        <v>247</v>
      </c>
      <c r="L52" t="s">
        <v>20</v>
      </c>
      <c r="M52" t="s">
        <v>85</v>
      </c>
      <c r="N52">
        <v>2</v>
      </c>
      <c r="O52" t="s">
        <v>22</v>
      </c>
      <c r="P52">
        <v>2425.7600000000002</v>
      </c>
      <c r="Q52" t="s">
        <v>74</v>
      </c>
      <c r="R52" t="s">
        <v>75</v>
      </c>
      <c r="S52">
        <v>226001</v>
      </c>
      <c r="T52" t="s">
        <v>25</v>
      </c>
      <c r="U52" t="s">
        <v>44</v>
      </c>
    </row>
    <row r="53" spans="1:21" x14ac:dyDescent="0.3">
      <c r="A53">
        <v>52</v>
      </c>
      <c r="B53" t="s">
        <v>248</v>
      </c>
      <c r="C53" t="s">
        <v>249</v>
      </c>
      <c r="D53" t="s">
        <v>15</v>
      </c>
      <c r="E53">
        <v>41</v>
      </c>
      <c r="F53" t="str">
        <f t="shared" si="0"/>
        <v>Adult</v>
      </c>
      <c r="G53" t="s">
        <v>250</v>
      </c>
      <c r="H53" t="str">
        <f t="shared" si="1"/>
        <v>Nov</v>
      </c>
      <c r="I53" t="s">
        <v>60</v>
      </c>
      <c r="J53" t="s">
        <v>79</v>
      </c>
      <c r="K53" t="s">
        <v>251</v>
      </c>
      <c r="L53" t="s">
        <v>20</v>
      </c>
      <c r="M53" t="s">
        <v>21</v>
      </c>
      <c r="N53">
        <v>2</v>
      </c>
      <c r="O53" t="s">
        <v>22</v>
      </c>
      <c r="P53">
        <v>307.23</v>
      </c>
      <c r="Q53" t="s">
        <v>35</v>
      </c>
      <c r="R53" t="s">
        <v>36</v>
      </c>
      <c r="S53">
        <v>560001</v>
      </c>
      <c r="T53" t="s">
        <v>25</v>
      </c>
      <c r="U53" t="s">
        <v>44</v>
      </c>
    </row>
    <row r="54" spans="1:21" x14ac:dyDescent="0.3">
      <c r="A54">
        <v>53</v>
      </c>
      <c r="B54" t="s">
        <v>252</v>
      </c>
      <c r="C54" t="s">
        <v>253</v>
      </c>
      <c r="D54" t="s">
        <v>15</v>
      </c>
      <c r="E54">
        <v>40</v>
      </c>
      <c r="F54" t="str">
        <f t="shared" si="0"/>
        <v>Adult</v>
      </c>
      <c r="G54" t="s">
        <v>254</v>
      </c>
      <c r="H54" t="str">
        <f t="shared" si="1"/>
        <v>Nov</v>
      </c>
      <c r="I54" t="s">
        <v>60</v>
      </c>
      <c r="J54" t="s">
        <v>101</v>
      </c>
      <c r="K54" t="s">
        <v>255</v>
      </c>
      <c r="L54" t="s">
        <v>107</v>
      </c>
      <c r="M54" t="s">
        <v>85</v>
      </c>
      <c r="N54">
        <v>4</v>
      </c>
      <c r="O54" t="s">
        <v>22</v>
      </c>
      <c r="P54">
        <v>4243.46</v>
      </c>
      <c r="Q54" t="s">
        <v>42</v>
      </c>
      <c r="R54" t="s">
        <v>43</v>
      </c>
      <c r="S54">
        <v>302001</v>
      </c>
      <c r="T54" t="s">
        <v>25</v>
      </c>
      <c r="U54" t="s">
        <v>26</v>
      </c>
    </row>
    <row r="55" spans="1:21" x14ac:dyDescent="0.3">
      <c r="A55">
        <v>54</v>
      </c>
      <c r="B55" t="s">
        <v>256</v>
      </c>
      <c r="C55" t="s">
        <v>257</v>
      </c>
      <c r="D55" t="s">
        <v>29</v>
      </c>
      <c r="E55">
        <v>39</v>
      </c>
      <c r="F55" t="str">
        <f t="shared" si="0"/>
        <v>Adult</v>
      </c>
      <c r="G55" t="s">
        <v>258</v>
      </c>
      <c r="H55" t="str">
        <f t="shared" si="1"/>
        <v>Mar</v>
      </c>
      <c r="I55" t="s">
        <v>17</v>
      </c>
      <c r="J55" t="s">
        <v>71</v>
      </c>
      <c r="K55" t="s">
        <v>259</v>
      </c>
      <c r="L55" t="s">
        <v>62</v>
      </c>
      <c r="M55" t="s">
        <v>21</v>
      </c>
      <c r="N55">
        <v>4</v>
      </c>
      <c r="O55" t="s">
        <v>22</v>
      </c>
      <c r="P55">
        <v>4845.71</v>
      </c>
      <c r="Q55" t="s">
        <v>51</v>
      </c>
      <c r="R55" t="s">
        <v>51</v>
      </c>
      <c r="S55">
        <v>110001</v>
      </c>
      <c r="T55" t="s">
        <v>25</v>
      </c>
      <c r="U55" t="s">
        <v>44</v>
      </c>
    </row>
    <row r="56" spans="1:21" x14ac:dyDescent="0.3">
      <c r="A56">
        <v>55</v>
      </c>
      <c r="B56" t="s">
        <v>260</v>
      </c>
      <c r="C56" t="s">
        <v>261</v>
      </c>
      <c r="D56" t="s">
        <v>15</v>
      </c>
      <c r="E56">
        <v>50</v>
      </c>
      <c r="F56" t="str">
        <f t="shared" si="0"/>
        <v>Senior</v>
      </c>
      <c r="G56" t="s">
        <v>262</v>
      </c>
      <c r="H56" t="str">
        <f t="shared" si="1"/>
        <v>Sep</v>
      </c>
      <c r="I56" t="s">
        <v>17</v>
      </c>
      <c r="J56" t="s">
        <v>18</v>
      </c>
      <c r="K56" t="s">
        <v>263</v>
      </c>
      <c r="L56" t="s">
        <v>62</v>
      </c>
      <c r="M56" t="s">
        <v>21</v>
      </c>
      <c r="N56">
        <v>1</v>
      </c>
      <c r="O56" t="s">
        <v>22</v>
      </c>
      <c r="P56">
        <v>937.05</v>
      </c>
      <c r="Q56" t="s">
        <v>74</v>
      </c>
      <c r="R56" t="s">
        <v>75</v>
      </c>
      <c r="S56">
        <v>226001</v>
      </c>
      <c r="T56" t="s">
        <v>25</v>
      </c>
      <c r="U56" t="s">
        <v>44</v>
      </c>
    </row>
    <row r="57" spans="1:21" x14ac:dyDescent="0.3">
      <c r="A57">
        <v>56</v>
      </c>
      <c r="B57" t="s">
        <v>264</v>
      </c>
      <c r="C57" t="s">
        <v>265</v>
      </c>
      <c r="D57" t="s">
        <v>29</v>
      </c>
      <c r="E57">
        <v>28</v>
      </c>
      <c r="F57" t="str">
        <f t="shared" si="0"/>
        <v>Teenager</v>
      </c>
      <c r="G57" t="s">
        <v>266</v>
      </c>
      <c r="H57" t="str">
        <f t="shared" si="1"/>
        <v>May</v>
      </c>
      <c r="I57" t="s">
        <v>48</v>
      </c>
      <c r="J57" t="s">
        <v>31</v>
      </c>
      <c r="K57" t="s">
        <v>267</v>
      </c>
      <c r="L57" t="s">
        <v>56</v>
      </c>
      <c r="M57" t="s">
        <v>85</v>
      </c>
      <c r="N57">
        <v>4</v>
      </c>
      <c r="O57" t="s">
        <v>22</v>
      </c>
      <c r="P57">
        <v>3850.65</v>
      </c>
      <c r="Q57" t="s">
        <v>42</v>
      </c>
      <c r="R57" t="s">
        <v>43</v>
      </c>
      <c r="S57">
        <v>302001</v>
      </c>
      <c r="T57" t="s">
        <v>25</v>
      </c>
      <c r="U57" t="s">
        <v>44</v>
      </c>
    </row>
    <row r="58" spans="1:21" x14ac:dyDescent="0.3">
      <c r="A58">
        <v>57</v>
      </c>
      <c r="B58" t="s">
        <v>268</v>
      </c>
      <c r="C58" t="s">
        <v>269</v>
      </c>
      <c r="D58" t="s">
        <v>15</v>
      </c>
      <c r="E58">
        <v>36</v>
      </c>
      <c r="F58" t="str">
        <f t="shared" si="0"/>
        <v>Adult</v>
      </c>
      <c r="G58" t="s">
        <v>159</v>
      </c>
      <c r="H58" t="str">
        <f t="shared" si="1"/>
        <v>Aug</v>
      </c>
      <c r="I58" t="s">
        <v>48</v>
      </c>
      <c r="J58" t="s">
        <v>79</v>
      </c>
      <c r="K58" t="s">
        <v>270</v>
      </c>
      <c r="L58" t="s">
        <v>56</v>
      </c>
      <c r="M58" t="s">
        <v>21</v>
      </c>
      <c r="N58">
        <v>3</v>
      </c>
      <c r="O58" t="s">
        <v>22</v>
      </c>
      <c r="P58">
        <v>2558.16</v>
      </c>
      <c r="Q58" t="s">
        <v>74</v>
      </c>
      <c r="R58" t="s">
        <v>75</v>
      </c>
      <c r="S58">
        <v>226001</v>
      </c>
      <c r="T58" t="s">
        <v>25</v>
      </c>
      <c r="U58" t="s">
        <v>44</v>
      </c>
    </row>
    <row r="59" spans="1:21" x14ac:dyDescent="0.3">
      <c r="A59">
        <v>58</v>
      </c>
      <c r="B59" t="s">
        <v>271</v>
      </c>
      <c r="C59" t="s">
        <v>272</v>
      </c>
      <c r="D59" t="s">
        <v>15</v>
      </c>
      <c r="E59">
        <v>51</v>
      </c>
      <c r="F59" t="str">
        <f t="shared" si="0"/>
        <v>Senior</v>
      </c>
      <c r="G59" t="s">
        <v>159</v>
      </c>
      <c r="H59" t="str">
        <f t="shared" si="1"/>
        <v>Aug</v>
      </c>
      <c r="I59" t="s">
        <v>48</v>
      </c>
      <c r="J59" t="s">
        <v>79</v>
      </c>
      <c r="K59" t="s">
        <v>273</v>
      </c>
      <c r="L59" t="s">
        <v>62</v>
      </c>
      <c r="M59" t="s">
        <v>50</v>
      </c>
      <c r="N59">
        <v>4</v>
      </c>
      <c r="O59" t="s">
        <v>22</v>
      </c>
      <c r="P59">
        <v>1781.26</v>
      </c>
      <c r="Q59" t="s">
        <v>35</v>
      </c>
      <c r="R59" t="s">
        <v>36</v>
      </c>
      <c r="S59">
        <v>560001</v>
      </c>
      <c r="T59" t="s">
        <v>25</v>
      </c>
      <c r="U59" t="s">
        <v>26</v>
      </c>
    </row>
    <row r="60" spans="1:21" x14ac:dyDescent="0.3">
      <c r="A60">
        <v>59</v>
      </c>
      <c r="B60" t="s">
        <v>274</v>
      </c>
      <c r="C60" t="s">
        <v>275</v>
      </c>
      <c r="D60" t="s">
        <v>29</v>
      </c>
      <c r="E60">
        <v>38</v>
      </c>
      <c r="F60" t="str">
        <f t="shared" si="0"/>
        <v>Adult</v>
      </c>
      <c r="G60" t="s">
        <v>100</v>
      </c>
      <c r="H60" t="str">
        <f t="shared" si="1"/>
        <v>Nov</v>
      </c>
      <c r="I60" t="s">
        <v>70</v>
      </c>
      <c r="J60" t="s">
        <v>40</v>
      </c>
      <c r="K60" t="s">
        <v>276</v>
      </c>
      <c r="L60" t="s">
        <v>33</v>
      </c>
      <c r="M60" t="s">
        <v>85</v>
      </c>
      <c r="N60">
        <v>3</v>
      </c>
      <c r="O60" t="s">
        <v>22</v>
      </c>
      <c r="P60">
        <v>3366.09</v>
      </c>
      <c r="Q60" t="s">
        <v>42</v>
      </c>
      <c r="R60" t="s">
        <v>43</v>
      </c>
      <c r="S60">
        <v>302001</v>
      </c>
      <c r="T60" t="s">
        <v>25</v>
      </c>
      <c r="U60" t="s">
        <v>26</v>
      </c>
    </row>
    <row r="61" spans="1:21" x14ac:dyDescent="0.3">
      <c r="A61">
        <v>60</v>
      </c>
      <c r="B61" t="s">
        <v>277</v>
      </c>
      <c r="C61" t="s">
        <v>278</v>
      </c>
      <c r="D61" t="s">
        <v>29</v>
      </c>
      <c r="E61">
        <v>40</v>
      </c>
      <c r="F61" t="str">
        <f t="shared" si="0"/>
        <v>Adult</v>
      </c>
      <c r="G61" t="s">
        <v>167</v>
      </c>
      <c r="H61" t="str">
        <f t="shared" si="1"/>
        <v>Jan</v>
      </c>
      <c r="I61" t="s">
        <v>60</v>
      </c>
      <c r="J61" t="s">
        <v>71</v>
      </c>
      <c r="K61" t="s">
        <v>279</v>
      </c>
      <c r="L61" t="s">
        <v>20</v>
      </c>
      <c r="M61" t="s">
        <v>21</v>
      </c>
      <c r="N61">
        <v>3</v>
      </c>
      <c r="O61" t="s">
        <v>22</v>
      </c>
      <c r="P61">
        <v>3458.71</v>
      </c>
      <c r="Q61" t="s">
        <v>42</v>
      </c>
      <c r="R61" t="s">
        <v>43</v>
      </c>
      <c r="S61">
        <v>302001</v>
      </c>
      <c r="T61" t="s">
        <v>25</v>
      </c>
      <c r="U61" t="s">
        <v>44</v>
      </c>
    </row>
    <row r="62" spans="1:21" x14ac:dyDescent="0.3">
      <c r="A62">
        <v>61</v>
      </c>
      <c r="B62" t="s">
        <v>280</v>
      </c>
      <c r="C62" t="s">
        <v>272</v>
      </c>
      <c r="D62" t="s">
        <v>29</v>
      </c>
      <c r="E62">
        <v>34</v>
      </c>
      <c r="F62" t="str">
        <f t="shared" si="0"/>
        <v>Adult</v>
      </c>
      <c r="G62" t="s">
        <v>226</v>
      </c>
      <c r="H62" t="str">
        <f t="shared" si="1"/>
        <v>Jul</v>
      </c>
      <c r="I62" t="s">
        <v>48</v>
      </c>
      <c r="J62" t="s">
        <v>18</v>
      </c>
      <c r="K62" t="s">
        <v>281</v>
      </c>
      <c r="L62" t="s">
        <v>62</v>
      </c>
      <c r="M62" t="s">
        <v>21</v>
      </c>
      <c r="N62">
        <v>3</v>
      </c>
      <c r="O62" t="s">
        <v>22</v>
      </c>
      <c r="P62">
        <v>4449.0200000000004</v>
      </c>
      <c r="Q62" t="s">
        <v>35</v>
      </c>
      <c r="R62" t="s">
        <v>36</v>
      </c>
      <c r="S62">
        <v>560001</v>
      </c>
      <c r="T62" t="s">
        <v>25</v>
      </c>
      <c r="U62" t="s">
        <v>44</v>
      </c>
    </row>
    <row r="63" spans="1:21" x14ac:dyDescent="0.3">
      <c r="A63">
        <v>62</v>
      </c>
      <c r="B63" t="s">
        <v>282</v>
      </c>
      <c r="C63" t="s">
        <v>283</v>
      </c>
      <c r="D63" t="s">
        <v>15</v>
      </c>
      <c r="E63">
        <v>18</v>
      </c>
      <c r="F63" t="str">
        <f t="shared" si="0"/>
        <v>Teenager</v>
      </c>
      <c r="G63" t="s">
        <v>284</v>
      </c>
      <c r="H63" t="str">
        <f t="shared" si="1"/>
        <v>Feb</v>
      </c>
      <c r="I63" t="s">
        <v>48</v>
      </c>
      <c r="J63" t="s">
        <v>31</v>
      </c>
      <c r="K63" t="s">
        <v>285</v>
      </c>
      <c r="L63" t="s">
        <v>20</v>
      </c>
      <c r="M63" t="s">
        <v>34</v>
      </c>
      <c r="N63">
        <v>4</v>
      </c>
      <c r="O63" t="s">
        <v>22</v>
      </c>
      <c r="P63">
        <v>4396.92</v>
      </c>
      <c r="Q63" t="s">
        <v>42</v>
      </c>
      <c r="R63" t="s">
        <v>43</v>
      </c>
      <c r="S63">
        <v>302001</v>
      </c>
      <c r="T63" t="s">
        <v>25</v>
      </c>
      <c r="U63" t="s">
        <v>26</v>
      </c>
    </row>
    <row r="64" spans="1:21" x14ac:dyDescent="0.3">
      <c r="A64">
        <v>63</v>
      </c>
      <c r="B64" t="s">
        <v>286</v>
      </c>
      <c r="C64" t="s">
        <v>287</v>
      </c>
      <c r="D64" t="s">
        <v>15</v>
      </c>
      <c r="E64">
        <v>35</v>
      </c>
      <c r="F64" t="str">
        <f t="shared" si="0"/>
        <v>Adult</v>
      </c>
      <c r="G64" t="s">
        <v>288</v>
      </c>
      <c r="H64" t="str">
        <f t="shared" si="1"/>
        <v>Apr</v>
      </c>
      <c r="I64" t="s">
        <v>17</v>
      </c>
      <c r="J64" t="s">
        <v>79</v>
      </c>
      <c r="K64" t="s">
        <v>289</v>
      </c>
      <c r="L64" t="s">
        <v>56</v>
      </c>
      <c r="M64" t="s">
        <v>21</v>
      </c>
      <c r="N64">
        <v>3</v>
      </c>
      <c r="O64" t="s">
        <v>22</v>
      </c>
      <c r="P64">
        <v>1809.01</v>
      </c>
      <c r="Q64" t="s">
        <v>74</v>
      </c>
      <c r="R64" t="s">
        <v>75</v>
      </c>
      <c r="S64">
        <v>226001</v>
      </c>
      <c r="T64" t="s">
        <v>25</v>
      </c>
      <c r="U64" t="s">
        <v>26</v>
      </c>
    </row>
    <row r="65" spans="1:21" x14ac:dyDescent="0.3">
      <c r="A65">
        <v>64</v>
      </c>
      <c r="B65" t="s">
        <v>290</v>
      </c>
      <c r="C65" t="s">
        <v>291</v>
      </c>
      <c r="D65" t="s">
        <v>29</v>
      </c>
      <c r="E65">
        <v>41</v>
      </c>
      <c r="F65" t="str">
        <f t="shared" si="0"/>
        <v>Adult</v>
      </c>
      <c r="G65" t="s">
        <v>292</v>
      </c>
      <c r="H65" t="str">
        <f t="shared" si="1"/>
        <v>May</v>
      </c>
      <c r="I65" t="s">
        <v>17</v>
      </c>
      <c r="J65" t="s">
        <v>71</v>
      </c>
      <c r="K65" t="s">
        <v>293</v>
      </c>
      <c r="L65" t="s">
        <v>56</v>
      </c>
      <c r="M65" t="s">
        <v>34</v>
      </c>
      <c r="N65">
        <v>3</v>
      </c>
      <c r="O65" t="s">
        <v>22</v>
      </c>
      <c r="P65">
        <v>2453.42</v>
      </c>
      <c r="Q65" t="s">
        <v>51</v>
      </c>
      <c r="R65" t="s">
        <v>51</v>
      </c>
      <c r="S65">
        <v>110001</v>
      </c>
      <c r="T65" t="s">
        <v>25</v>
      </c>
      <c r="U65" t="s">
        <v>26</v>
      </c>
    </row>
    <row r="66" spans="1:21" x14ac:dyDescent="0.3">
      <c r="A66">
        <v>65</v>
      </c>
      <c r="B66" t="s">
        <v>294</v>
      </c>
      <c r="C66" t="s">
        <v>295</v>
      </c>
      <c r="D66" t="s">
        <v>29</v>
      </c>
      <c r="E66">
        <v>27</v>
      </c>
      <c r="F66" t="str">
        <f t="shared" si="0"/>
        <v>Teenager</v>
      </c>
      <c r="G66" t="s">
        <v>296</v>
      </c>
      <c r="H66" t="str">
        <f t="shared" si="1"/>
        <v>Jan</v>
      </c>
      <c r="I66" t="s">
        <v>70</v>
      </c>
      <c r="J66" t="s">
        <v>79</v>
      </c>
      <c r="K66" t="s">
        <v>297</v>
      </c>
      <c r="L66" t="s">
        <v>62</v>
      </c>
      <c r="M66" t="s">
        <v>21</v>
      </c>
      <c r="N66">
        <v>4</v>
      </c>
      <c r="O66" t="s">
        <v>22</v>
      </c>
      <c r="P66">
        <v>2901.29</v>
      </c>
      <c r="Q66" t="s">
        <v>23</v>
      </c>
      <c r="R66" t="s">
        <v>24</v>
      </c>
      <c r="S66">
        <v>400001</v>
      </c>
      <c r="T66" t="s">
        <v>25</v>
      </c>
      <c r="U66" t="s">
        <v>44</v>
      </c>
    </row>
    <row r="67" spans="1:21" x14ac:dyDescent="0.3">
      <c r="A67">
        <v>66</v>
      </c>
      <c r="B67" t="s">
        <v>298</v>
      </c>
      <c r="C67" t="s">
        <v>299</v>
      </c>
      <c r="D67" t="s">
        <v>15</v>
      </c>
      <c r="E67">
        <v>29</v>
      </c>
      <c r="F67" t="str">
        <f t="shared" ref="F67:F130" si="2">IF(E67&gt;=50,"Senior", IF(E67&gt;=30, "Adult","Teenager"))</f>
        <v>Teenager</v>
      </c>
      <c r="G67" t="s">
        <v>300</v>
      </c>
      <c r="H67" t="str">
        <f t="shared" ref="H67:H130" si="3">TEXT(G67,"MMM")</f>
        <v>Jan</v>
      </c>
      <c r="I67" t="s">
        <v>60</v>
      </c>
      <c r="J67" t="s">
        <v>101</v>
      </c>
      <c r="K67" t="s">
        <v>301</v>
      </c>
      <c r="L67" t="s">
        <v>56</v>
      </c>
      <c r="M67" t="s">
        <v>34</v>
      </c>
      <c r="N67">
        <v>4</v>
      </c>
      <c r="O67" t="s">
        <v>22</v>
      </c>
      <c r="P67">
        <v>3866.25</v>
      </c>
      <c r="Q67" t="s">
        <v>74</v>
      </c>
      <c r="R67" t="s">
        <v>75</v>
      </c>
      <c r="S67">
        <v>226001</v>
      </c>
      <c r="T67" t="s">
        <v>25</v>
      </c>
      <c r="U67" t="s">
        <v>26</v>
      </c>
    </row>
    <row r="68" spans="1:21" x14ac:dyDescent="0.3">
      <c r="A68">
        <v>67</v>
      </c>
      <c r="B68" t="s">
        <v>302</v>
      </c>
      <c r="C68" t="s">
        <v>303</v>
      </c>
      <c r="D68" t="s">
        <v>15</v>
      </c>
      <c r="E68">
        <v>57</v>
      </c>
      <c r="F68" t="str">
        <f t="shared" si="2"/>
        <v>Senior</v>
      </c>
      <c r="G68" t="s">
        <v>304</v>
      </c>
      <c r="H68" t="str">
        <f t="shared" si="3"/>
        <v>Jun</v>
      </c>
      <c r="I68" t="s">
        <v>60</v>
      </c>
      <c r="J68" t="s">
        <v>31</v>
      </c>
      <c r="K68" t="s">
        <v>305</v>
      </c>
      <c r="L68" t="s">
        <v>20</v>
      </c>
      <c r="M68" t="s">
        <v>21</v>
      </c>
      <c r="N68">
        <v>4</v>
      </c>
      <c r="O68" t="s">
        <v>22</v>
      </c>
      <c r="P68">
        <v>1375.62</v>
      </c>
      <c r="Q68" t="s">
        <v>74</v>
      </c>
      <c r="R68" t="s">
        <v>75</v>
      </c>
      <c r="S68">
        <v>226001</v>
      </c>
      <c r="T68" t="s">
        <v>25</v>
      </c>
      <c r="U68" t="s">
        <v>44</v>
      </c>
    </row>
    <row r="69" spans="1:21" x14ac:dyDescent="0.3">
      <c r="A69">
        <v>68</v>
      </c>
      <c r="B69" t="s">
        <v>306</v>
      </c>
      <c r="C69" t="s">
        <v>307</v>
      </c>
      <c r="D69" t="s">
        <v>29</v>
      </c>
      <c r="E69">
        <v>20</v>
      </c>
      <c r="F69" t="str">
        <f t="shared" si="2"/>
        <v>Teenager</v>
      </c>
      <c r="G69" t="s">
        <v>308</v>
      </c>
      <c r="H69" t="str">
        <f t="shared" si="3"/>
        <v>Jul</v>
      </c>
      <c r="I69" t="s">
        <v>60</v>
      </c>
      <c r="J69" t="s">
        <v>71</v>
      </c>
      <c r="K69" t="s">
        <v>309</v>
      </c>
      <c r="L69" t="s">
        <v>20</v>
      </c>
      <c r="M69" t="s">
        <v>50</v>
      </c>
      <c r="N69">
        <v>3</v>
      </c>
      <c r="O69" t="s">
        <v>22</v>
      </c>
      <c r="P69">
        <v>2620.48</v>
      </c>
      <c r="Q69" t="s">
        <v>51</v>
      </c>
      <c r="R69" t="s">
        <v>51</v>
      </c>
      <c r="S69">
        <v>110001</v>
      </c>
      <c r="T69" t="s">
        <v>25</v>
      </c>
      <c r="U69" t="s">
        <v>26</v>
      </c>
    </row>
    <row r="70" spans="1:21" x14ac:dyDescent="0.3">
      <c r="A70">
        <v>69</v>
      </c>
      <c r="B70" t="s">
        <v>310</v>
      </c>
      <c r="C70" t="s">
        <v>311</v>
      </c>
      <c r="D70" t="s">
        <v>15</v>
      </c>
      <c r="E70">
        <v>55</v>
      </c>
      <c r="F70" t="str">
        <f t="shared" si="2"/>
        <v>Senior</v>
      </c>
      <c r="G70" t="s">
        <v>312</v>
      </c>
      <c r="H70" t="str">
        <f t="shared" si="3"/>
        <v>Oct</v>
      </c>
      <c r="I70" t="s">
        <v>60</v>
      </c>
      <c r="J70" t="s">
        <v>101</v>
      </c>
      <c r="K70" t="s">
        <v>313</v>
      </c>
      <c r="L70" t="s">
        <v>56</v>
      </c>
      <c r="M70" t="s">
        <v>50</v>
      </c>
      <c r="N70">
        <v>2</v>
      </c>
      <c r="O70" t="s">
        <v>22</v>
      </c>
      <c r="P70">
        <v>4360.13</v>
      </c>
      <c r="Q70" t="s">
        <v>42</v>
      </c>
      <c r="R70" t="s">
        <v>43</v>
      </c>
      <c r="S70">
        <v>302001</v>
      </c>
      <c r="T70" t="s">
        <v>25</v>
      </c>
      <c r="U70" t="s">
        <v>26</v>
      </c>
    </row>
    <row r="71" spans="1:21" x14ac:dyDescent="0.3">
      <c r="A71">
        <v>70</v>
      </c>
      <c r="B71" t="s">
        <v>314</v>
      </c>
      <c r="C71" t="s">
        <v>315</v>
      </c>
      <c r="D71" t="s">
        <v>15</v>
      </c>
      <c r="E71">
        <v>56</v>
      </c>
      <c r="F71" t="str">
        <f t="shared" si="2"/>
        <v>Senior</v>
      </c>
      <c r="G71" t="s">
        <v>316</v>
      </c>
      <c r="H71" t="str">
        <f t="shared" si="3"/>
        <v>Jan</v>
      </c>
      <c r="I71" t="s">
        <v>60</v>
      </c>
      <c r="J71" t="s">
        <v>79</v>
      </c>
      <c r="K71" t="s">
        <v>317</v>
      </c>
      <c r="L71" t="s">
        <v>33</v>
      </c>
      <c r="M71" t="s">
        <v>34</v>
      </c>
      <c r="N71">
        <v>4</v>
      </c>
      <c r="O71" t="s">
        <v>22</v>
      </c>
      <c r="P71">
        <v>3371.02</v>
      </c>
      <c r="Q71" t="s">
        <v>35</v>
      </c>
      <c r="R71" t="s">
        <v>36</v>
      </c>
      <c r="S71">
        <v>560001</v>
      </c>
      <c r="T71" t="s">
        <v>25</v>
      </c>
      <c r="U71" t="s">
        <v>44</v>
      </c>
    </row>
    <row r="72" spans="1:21" x14ac:dyDescent="0.3">
      <c r="A72">
        <v>71</v>
      </c>
      <c r="B72" t="s">
        <v>318</v>
      </c>
      <c r="C72" t="s">
        <v>319</v>
      </c>
      <c r="D72" t="s">
        <v>15</v>
      </c>
      <c r="E72">
        <v>35</v>
      </c>
      <c r="F72" t="str">
        <f t="shared" si="2"/>
        <v>Adult</v>
      </c>
      <c r="G72" t="s">
        <v>320</v>
      </c>
      <c r="H72" t="str">
        <f t="shared" si="3"/>
        <v>Dec</v>
      </c>
      <c r="I72" t="s">
        <v>60</v>
      </c>
      <c r="J72" t="s">
        <v>101</v>
      </c>
      <c r="K72" t="s">
        <v>321</v>
      </c>
      <c r="L72" t="s">
        <v>62</v>
      </c>
      <c r="M72" t="s">
        <v>50</v>
      </c>
      <c r="N72">
        <v>1</v>
      </c>
      <c r="O72" t="s">
        <v>22</v>
      </c>
      <c r="P72">
        <v>1014.5</v>
      </c>
      <c r="Q72" t="s">
        <v>35</v>
      </c>
      <c r="R72" t="s">
        <v>36</v>
      </c>
      <c r="S72">
        <v>560001</v>
      </c>
      <c r="T72" t="s">
        <v>25</v>
      </c>
      <c r="U72" t="s">
        <v>26</v>
      </c>
    </row>
    <row r="73" spans="1:21" x14ac:dyDescent="0.3">
      <c r="A73">
        <v>72</v>
      </c>
      <c r="B73" t="s">
        <v>322</v>
      </c>
      <c r="C73" t="s">
        <v>323</v>
      </c>
      <c r="D73" t="s">
        <v>15</v>
      </c>
      <c r="E73">
        <v>46</v>
      </c>
      <c r="F73" t="str">
        <f t="shared" si="2"/>
        <v>Adult</v>
      </c>
      <c r="G73" t="s">
        <v>324</v>
      </c>
      <c r="H73" t="str">
        <f t="shared" si="3"/>
        <v>Sep</v>
      </c>
      <c r="I73" t="s">
        <v>60</v>
      </c>
      <c r="J73" t="s">
        <v>40</v>
      </c>
      <c r="K73" t="s">
        <v>325</v>
      </c>
      <c r="L73" t="s">
        <v>20</v>
      </c>
      <c r="M73" t="s">
        <v>50</v>
      </c>
      <c r="N73">
        <v>5</v>
      </c>
      <c r="O73" t="s">
        <v>22</v>
      </c>
      <c r="P73">
        <v>3273.12</v>
      </c>
      <c r="Q73" t="s">
        <v>42</v>
      </c>
      <c r="R73" t="s">
        <v>43</v>
      </c>
      <c r="S73">
        <v>302001</v>
      </c>
      <c r="T73" t="s">
        <v>25</v>
      </c>
      <c r="U73" t="s">
        <v>44</v>
      </c>
    </row>
    <row r="74" spans="1:21" x14ac:dyDescent="0.3">
      <c r="A74">
        <v>73</v>
      </c>
      <c r="B74" t="s">
        <v>326</v>
      </c>
      <c r="C74" t="s">
        <v>327</v>
      </c>
      <c r="D74" t="s">
        <v>29</v>
      </c>
      <c r="E74">
        <v>43</v>
      </c>
      <c r="F74" t="str">
        <f t="shared" si="2"/>
        <v>Adult</v>
      </c>
      <c r="G74" t="s">
        <v>328</v>
      </c>
      <c r="H74" t="str">
        <f t="shared" si="3"/>
        <v>Mar</v>
      </c>
      <c r="I74" t="s">
        <v>60</v>
      </c>
      <c r="J74" t="s">
        <v>31</v>
      </c>
      <c r="K74" t="s">
        <v>329</v>
      </c>
      <c r="L74" t="s">
        <v>73</v>
      </c>
      <c r="M74" t="s">
        <v>50</v>
      </c>
      <c r="N74">
        <v>3</v>
      </c>
      <c r="O74" t="s">
        <v>22</v>
      </c>
      <c r="P74">
        <v>2563.23</v>
      </c>
      <c r="Q74" t="s">
        <v>74</v>
      </c>
      <c r="R74" t="s">
        <v>75</v>
      </c>
      <c r="S74">
        <v>226001</v>
      </c>
      <c r="T74" t="s">
        <v>25</v>
      </c>
      <c r="U74" t="s">
        <v>44</v>
      </c>
    </row>
    <row r="75" spans="1:21" x14ac:dyDescent="0.3">
      <c r="A75">
        <v>74</v>
      </c>
      <c r="B75" t="s">
        <v>330</v>
      </c>
      <c r="C75" t="s">
        <v>331</v>
      </c>
      <c r="D75" t="s">
        <v>15</v>
      </c>
      <c r="E75">
        <v>23</v>
      </c>
      <c r="F75" t="str">
        <f t="shared" si="2"/>
        <v>Teenager</v>
      </c>
      <c r="G75" t="s">
        <v>47</v>
      </c>
      <c r="H75" t="str">
        <f t="shared" si="3"/>
        <v>May</v>
      </c>
      <c r="I75" t="s">
        <v>60</v>
      </c>
      <c r="J75" t="s">
        <v>79</v>
      </c>
      <c r="K75" t="s">
        <v>332</v>
      </c>
      <c r="L75" t="s">
        <v>33</v>
      </c>
      <c r="M75" t="s">
        <v>21</v>
      </c>
      <c r="N75">
        <v>4</v>
      </c>
      <c r="O75" t="s">
        <v>22</v>
      </c>
      <c r="P75">
        <v>4823.82</v>
      </c>
      <c r="Q75" t="s">
        <v>74</v>
      </c>
      <c r="R75" t="s">
        <v>75</v>
      </c>
      <c r="S75">
        <v>226001</v>
      </c>
      <c r="T75" t="s">
        <v>25</v>
      </c>
      <c r="U75" t="s">
        <v>44</v>
      </c>
    </row>
    <row r="76" spans="1:21" x14ac:dyDescent="0.3">
      <c r="A76">
        <v>75</v>
      </c>
      <c r="B76" t="s">
        <v>333</v>
      </c>
      <c r="C76" t="s">
        <v>334</v>
      </c>
      <c r="D76" t="s">
        <v>15</v>
      </c>
      <c r="E76">
        <v>40</v>
      </c>
      <c r="F76" t="str">
        <f t="shared" si="2"/>
        <v>Adult</v>
      </c>
      <c r="G76" t="s">
        <v>222</v>
      </c>
      <c r="H76" t="str">
        <f t="shared" si="3"/>
        <v>Aug</v>
      </c>
      <c r="I76" t="s">
        <v>60</v>
      </c>
      <c r="J76" t="s">
        <v>79</v>
      </c>
      <c r="K76" t="s">
        <v>335</v>
      </c>
      <c r="L76" t="s">
        <v>73</v>
      </c>
      <c r="M76" t="s">
        <v>34</v>
      </c>
      <c r="N76">
        <v>5</v>
      </c>
      <c r="O76" t="s">
        <v>22</v>
      </c>
      <c r="P76">
        <v>1918.06</v>
      </c>
      <c r="Q76" t="s">
        <v>74</v>
      </c>
      <c r="R76" t="s">
        <v>75</v>
      </c>
      <c r="S76">
        <v>226001</v>
      </c>
      <c r="T76" t="s">
        <v>25</v>
      </c>
      <c r="U76" t="s">
        <v>44</v>
      </c>
    </row>
    <row r="77" spans="1:21" x14ac:dyDescent="0.3">
      <c r="A77">
        <v>76</v>
      </c>
      <c r="B77" t="s">
        <v>336</v>
      </c>
      <c r="C77" t="s">
        <v>337</v>
      </c>
      <c r="D77" t="s">
        <v>29</v>
      </c>
      <c r="E77">
        <v>59</v>
      </c>
      <c r="F77" t="str">
        <f t="shared" si="2"/>
        <v>Senior</v>
      </c>
      <c r="G77" t="s">
        <v>338</v>
      </c>
      <c r="H77" t="str">
        <f t="shared" si="3"/>
        <v>May</v>
      </c>
      <c r="I77" t="s">
        <v>60</v>
      </c>
      <c r="J77" t="s">
        <v>79</v>
      </c>
      <c r="K77" t="s">
        <v>339</v>
      </c>
      <c r="L77" t="s">
        <v>56</v>
      </c>
      <c r="M77" t="s">
        <v>34</v>
      </c>
      <c r="N77">
        <v>4</v>
      </c>
      <c r="O77" t="s">
        <v>22</v>
      </c>
      <c r="P77">
        <v>4433.5600000000004</v>
      </c>
      <c r="Q77" t="s">
        <v>35</v>
      </c>
      <c r="R77" t="s">
        <v>36</v>
      </c>
      <c r="S77">
        <v>560001</v>
      </c>
      <c r="T77" t="s">
        <v>25</v>
      </c>
      <c r="U77" t="s">
        <v>44</v>
      </c>
    </row>
    <row r="78" spans="1:21" x14ac:dyDescent="0.3">
      <c r="A78">
        <v>77</v>
      </c>
      <c r="B78" t="s">
        <v>340</v>
      </c>
      <c r="C78" t="s">
        <v>341</v>
      </c>
      <c r="D78" t="s">
        <v>29</v>
      </c>
      <c r="E78">
        <v>49</v>
      </c>
      <c r="F78" t="str">
        <f t="shared" si="2"/>
        <v>Adult</v>
      </c>
      <c r="G78" t="s">
        <v>342</v>
      </c>
      <c r="H78" t="str">
        <f t="shared" si="3"/>
        <v>May</v>
      </c>
      <c r="I78" t="s">
        <v>60</v>
      </c>
      <c r="J78" t="s">
        <v>18</v>
      </c>
      <c r="K78" t="s">
        <v>343</v>
      </c>
      <c r="L78" t="s">
        <v>107</v>
      </c>
      <c r="M78" t="s">
        <v>85</v>
      </c>
      <c r="N78">
        <v>2</v>
      </c>
      <c r="O78" t="s">
        <v>22</v>
      </c>
      <c r="P78">
        <v>2787.75</v>
      </c>
      <c r="Q78" t="s">
        <v>42</v>
      </c>
      <c r="R78" t="s">
        <v>43</v>
      </c>
      <c r="S78">
        <v>302001</v>
      </c>
      <c r="T78" t="s">
        <v>25</v>
      </c>
      <c r="U78" t="s">
        <v>26</v>
      </c>
    </row>
    <row r="79" spans="1:21" x14ac:dyDescent="0.3">
      <c r="A79">
        <v>78</v>
      </c>
      <c r="B79" t="s">
        <v>344</v>
      </c>
      <c r="C79" t="s">
        <v>345</v>
      </c>
      <c r="D79" t="s">
        <v>29</v>
      </c>
      <c r="E79">
        <v>38</v>
      </c>
      <c r="F79" t="str">
        <f t="shared" si="2"/>
        <v>Adult</v>
      </c>
      <c r="G79" t="s">
        <v>346</v>
      </c>
      <c r="H79" t="str">
        <f t="shared" si="3"/>
        <v>Aug</v>
      </c>
      <c r="I79" t="s">
        <v>60</v>
      </c>
      <c r="J79" t="s">
        <v>31</v>
      </c>
      <c r="K79" t="s">
        <v>347</v>
      </c>
      <c r="L79" t="s">
        <v>33</v>
      </c>
      <c r="M79" t="s">
        <v>21</v>
      </c>
      <c r="N79">
        <v>2</v>
      </c>
      <c r="O79" t="s">
        <v>22</v>
      </c>
      <c r="P79">
        <v>4738.92</v>
      </c>
      <c r="Q79" t="s">
        <v>35</v>
      </c>
      <c r="R79" t="s">
        <v>36</v>
      </c>
      <c r="S79">
        <v>560001</v>
      </c>
      <c r="T79" t="s">
        <v>25</v>
      </c>
      <c r="U79" t="s">
        <v>44</v>
      </c>
    </row>
    <row r="80" spans="1:21" x14ac:dyDescent="0.3">
      <c r="A80">
        <v>79</v>
      </c>
      <c r="B80" t="s">
        <v>348</v>
      </c>
      <c r="C80" t="s">
        <v>349</v>
      </c>
      <c r="D80" t="s">
        <v>15</v>
      </c>
      <c r="E80">
        <v>30</v>
      </c>
      <c r="F80" t="str">
        <f t="shared" si="2"/>
        <v>Adult</v>
      </c>
      <c r="G80" t="s">
        <v>350</v>
      </c>
      <c r="H80" t="str">
        <f t="shared" si="3"/>
        <v>Nov</v>
      </c>
      <c r="I80" t="s">
        <v>60</v>
      </c>
      <c r="J80" t="s">
        <v>71</v>
      </c>
      <c r="K80" t="s">
        <v>351</v>
      </c>
      <c r="L80" t="s">
        <v>56</v>
      </c>
      <c r="M80" t="s">
        <v>21</v>
      </c>
      <c r="N80">
        <v>4</v>
      </c>
      <c r="O80" t="s">
        <v>22</v>
      </c>
      <c r="P80">
        <v>3513.63</v>
      </c>
      <c r="Q80" t="s">
        <v>42</v>
      </c>
      <c r="R80" t="s">
        <v>43</v>
      </c>
      <c r="S80">
        <v>302001</v>
      </c>
      <c r="T80" t="s">
        <v>25</v>
      </c>
      <c r="U80" t="s">
        <v>44</v>
      </c>
    </row>
    <row r="81" spans="1:21" x14ac:dyDescent="0.3">
      <c r="A81">
        <v>80</v>
      </c>
      <c r="B81" t="s">
        <v>352</v>
      </c>
      <c r="C81" t="s">
        <v>353</v>
      </c>
      <c r="D81" t="s">
        <v>15</v>
      </c>
      <c r="E81">
        <v>52</v>
      </c>
      <c r="F81" t="str">
        <f t="shared" si="2"/>
        <v>Senior</v>
      </c>
      <c r="G81" t="s">
        <v>354</v>
      </c>
      <c r="H81" t="str">
        <f t="shared" si="3"/>
        <v>Jun</v>
      </c>
      <c r="I81" t="s">
        <v>60</v>
      </c>
      <c r="J81" t="s">
        <v>71</v>
      </c>
      <c r="K81" t="s">
        <v>355</v>
      </c>
      <c r="L81" t="s">
        <v>20</v>
      </c>
      <c r="M81" t="s">
        <v>34</v>
      </c>
      <c r="N81">
        <v>5</v>
      </c>
      <c r="O81" t="s">
        <v>22</v>
      </c>
      <c r="P81">
        <v>2969.93</v>
      </c>
      <c r="Q81" t="s">
        <v>42</v>
      </c>
      <c r="R81" t="s">
        <v>43</v>
      </c>
      <c r="S81">
        <v>302001</v>
      </c>
      <c r="T81" t="s">
        <v>25</v>
      </c>
      <c r="U81" t="s">
        <v>44</v>
      </c>
    </row>
    <row r="82" spans="1:21" x14ac:dyDescent="0.3">
      <c r="A82">
        <v>81</v>
      </c>
      <c r="B82" t="s">
        <v>356</v>
      </c>
      <c r="C82" t="s">
        <v>357</v>
      </c>
      <c r="D82" t="s">
        <v>15</v>
      </c>
      <c r="E82">
        <v>29</v>
      </c>
      <c r="F82" t="str">
        <f t="shared" si="2"/>
        <v>Teenager</v>
      </c>
      <c r="G82" t="s">
        <v>358</v>
      </c>
      <c r="H82" t="str">
        <f t="shared" si="3"/>
        <v>Jul</v>
      </c>
      <c r="I82" t="s">
        <v>60</v>
      </c>
      <c r="J82" t="s">
        <v>101</v>
      </c>
      <c r="K82" t="s">
        <v>359</v>
      </c>
      <c r="L82" t="s">
        <v>20</v>
      </c>
      <c r="M82" t="s">
        <v>21</v>
      </c>
      <c r="N82">
        <v>4</v>
      </c>
      <c r="O82" t="s">
        <v>22</v>
      </c>
      <c r="P82">
        <v>1460.67</v>
      </c>
      <c r="Q82" t="s">
        <v>23</v>
      </c>
      <c r="R82" t="s">
        <v>24</v>
      </c>
      <c r="S82">
        <v>400001</v>
      </c>
      <c r="T82" t="s">
        <v>25</v>
      </c>
      <c r="U82" t="s">
        <v>26</v>
      </c>
    </row>
    <row r="83" spans="1:21" x14ac:dyDescent="0.3">
      <c r="A83">
        <v>82</v>
      </c>
      <c r="B83" t="s">
        <v>360</v>
      </c>
      <c r="C83" t="s">
        <v>361</v>
      </c>
      <c r="D83" t="s">
        <v>15</v>
      </c>
      <c r="E83">
        <v>56</v>
      </c>
      <c r="F83" t="str">
        <f t="shared" si="2"/>
        <v>Senior</v>
      </c>
      <c r="G83" t="s">
        <v>362</v>
      </c>
      <c r="H83" t="str">
        <f t="shared" si="3"/>
        <v>Dec</v>
      </c>
      <c r="I83" t="s">
        <v>60</v>
      </c>
      <c r="J83" t="s">
        <v>101</v>
      </c>
      <c r="K83" t="s">
        <v>363</v>
      </c>
      <c r="L83" t="s">
        <v>33</v>
      </c>
      <c r="M83" t="s">
        <v>50</v>
      </c>
      <c r="N83">
        <v>4</v>
      </c>
      <c r="O83" t="s">
        <v>22</v>
      </c>
      <c r="P83">
        <v>1337.6</v>
      </c>
      <c r="Q83" t="s">
        <v>51</v>
      </c>
      <c r="R83" t="s">
        <v>51</v>
      </c>
      <c r="S83">
        <v>110001</v>
      </c>
      <c r="T83" t="s">
        <v>25</v>
      </c>
      <c r="U83" t="s">
        <v>44</v>
      </c>
    </row>
    <row r="84" spans="1:21" x14ac:dyDescent="0.3">
      <c r="A84">
        <v>83</v>
      </c>
      <c r="B84" t="s">
        <v>364</v>
      </c>
      <c r="C84" t="s">
        <v>365</v>
      </c>
      <c r="D84" t="s">
        <v>29</v>
      </c>
      <c r="E84">
        <v>20</v>
      </c>
      <c r="F84" t="str">
        <f t="shared" si="2"/>
        <v>Teenager</v>
      </c>
      <c r="G84" t="s">
        <v>366</v>
      </c>
      <c r="H84" t="str">
        <f t="shared" si="3"/>
        <v>Jul</v>
      </c>
      <c r="I84" t="s">
        <v>60</v>
      </c>
      <c r="J84" t="s">
        <v>101</v>
      </c>
      <c r="K84" t="s">
        <v>367</v>
      </c>
      <c r="L84" t="s">
        <v>56</v>
      </c>
      <c r="M84" t="s">
        <v>50</v>
      </c>
      <c r="N84">
        <v>3</v>
      </c>
      <c r="O84" t="s">
        <v>22</v>
      </c>
      <c r="P84">
        <v>2001.17</v>
      </c>
      <c r="Q84" t="s">
        <v>74</v>
      </c>
      <c r="R84" t="s">
        <v>75</v>
      </c>
      <c r="S84">
        <v>226001</v>
      </c>
      <c r="T84" t="s">
        <v>25</v>
      </c>
      <c r="U84" t="s">
        <v>26</v>
      </c>
    </row>
    <row r="85" spans="1:21" x14ac:dyDescent="0.3">
      <c r="A85">
        <v>84</v>
      </c>
      <c r="B85" t="s">
        <v>368</v>
      </c>
      <c r="C85" t="s">
        <v>369</v>
      </c>
      <c r="D85" t="s">
        <v>15</v>
      </c>
      <c r="E85">
        <v>43</v>
      </c>
      <c r="F85" t="str">
        <f t="shared" si="2"/>
        <v>Adult</v>
      </c>
      <c r="G85" t="s">
        <v>195</v>
      </c>
      <c r="H85" t="str">
        <f t="shared" si="3"/>
        <v>Oct</v>
      </c>
      <c r="I85" t="s">
        <v>60</v>
      </c>
      <c r="J85" t="s">
        <v>18</v>
      </c>
      <c r="K85" t="s">
        <v>370</v>
      </c>
      <c r="L85" t="s">
        <v>73</v>
      </c>
      <c r="M85" t="s">
        <v>21</v>
      </c>
      <c r="N85">
        <v>5</v>
      </c>
      <c r="O85" t="s">
        <v>22</v>
      </c>
      <c r="P85">
        <v>2195.69</v>
      </c>
      <c r="Q85" t="s">
        <v>74</v>
      </c>
      <c r="R85" t="s">
        <v>75</v>
      </c>
      <c r="S85">
        <v>226001</v>
      </c>
      <c r="T85" t="s">
        <v>25</v>
      </c>
      <c r="U85" t="s">
        <v>44</v>
      </c>
    </row>
    <row r="86" spans="1:21" x14ac:dyDescent="0.3">
      <c r="A86">
        <v>85</v>
      </c>
      <c r="B86" t="s">
        <v>371</v>
      </c>
      <c r="C86" t="s">
        <v>372</v>
      </c>
      <c r="D86" t="s">
        <v>15</v>
      </c>
      <c r="E86">
        <v>51</v>
      </c>
      <c r="F86" t="str">
        <f t="shared" si="2"/>
        <v>Senior</v>
      </c>
      <c r="G86" t="s">
        <v>373</v>
      </c>
      <c r="H86" t="str">
        <f t="shared" si="3"/>
        <v>Sep</v>
      </c>
      <c r="I86" t="s">
        <v>60</v>
      </c>
      <c r="J86" t="s">
        <v>40</v>
      </c>
      <c r="K86" t="s">
        <v>374</v>
      </c>
      <c r="L86" t="s">
        <v>33</v>
      </c>
      <c r="M86" t="s">
        <v>21</v>
      </c>
      <c r="N86">
        <v>4</v>
      </c>
      <c r="O86" t="s">
        <v>22</v>
      </c>
      <c r="P86">
        <v>4308.57</v>
      </c>
      <c r="Q86" t="s">
        <v>42</v>
      </c>
      <c r="R86" t="s">
        <v>43</v>
      </c>
      <c r="S86">
        <v>302001</v>
      </c>
      <c r="T86" t="s">
        <v>25</v>
      </c>
      <c r="U86" t="s">
        <v>44</v>
      </c>
    </row>
    <row r="87" spans="1:21" x14ac:dyDescent="0.3">
      <c r="A87">
        <v>86</v>
      </c>
      <c r="B87" t="s">
        <v>375</v>
      </c>
      <c r="C87" t="s">
        <v>331</v>
      </c>
      <c r="D87" t="s">
        <v>29</v>
      </c>
      <c r="E87">
        <v>20</v>
      </c>
      <c r="F87" t="str">
        <f t="shared" si="2"/>
        <v>Teenager</v>
      </c>
      <c r="G87" t="s">
        <v>362</v>
      </c>
      <c r="H87" t="str">
        <f t="shared" si="3"/>
        <v>Dec</v>
      </c>
      <c r="I87" t="s">
        <v>60</v>
      </c>
      <c r="J87" t="s">
        <v>40</v>
      </c>
      <c r="K87" t="s">
        <v>376</v>
      </c>
      <c r="L87" t="s">
        <v>20</v>
      </c>
      <c r="M87" t="s">
        <v>50</v>
      </c>
      <c r="N87">
        <v>4</v>
      </c>
      <c r="O87" t="s">
        <v>22</v>
      </c>
      <c r="P87">
        <v>1542.23</v>
      </c>
      <c r="Q87" t="s">
        <v>51</v>
      </c>
      <c r="R87" t="s">
        <v>51</v>
      </c>
      <c r="S87">
        <v>110001</v>
      </c>
      <c r="T87" t="s">
        <v>25</v>
      </c>
      <c r="U87" t="s">
        <v>26</v>
      </c>
    </row>
    <row r="88" spans="1:21" x14ac:dyDescent="0.3">
      <c r="A88">
        <v>87</v>
      </c>
      <c r="B88" t="s">
        <v>377</v>
      </c>
      <c r="C88" t="s">
        <v>378</v>
      </c>
      <c r="D88" t="s">
        <v>15</v>
      </c>
      <c r="E88">
        <v>60</v>
      </c>
      <c r="F88" t="str">
        <f t="shared" si="2"/>
        <v>Senior</v>
      </c>
      <c r="G88" t="s">
        <v>128</v>
      </c>
      <c r="H88" t="str">
        <f t="shared" si="3"/>
        <v>May</v>
      </c>
      <c r="I88" t="s">
        <v>60</v>
      </c>
      <c r="J88" t="s">
        <v>71</v>
      </c>
      <c r="K88" t="s">
        <v>379</v>
      </c>
      <c r="L88" t="s">
        <v>33</v>
      </c>
      <c r="M88" t="s">
        <v>50</v>
      </c>
      <c r="N88">
        <v>4</v>
      </c>
      <c r="O88" t="s">
        <v>22</v>
      </c>
      <c r="P88">
        <v>1640.73</v>
      </c>
      <c r="Q88" t="s">
        <v>42</v>
      </c>
      <c r="R88" t="s">
        <v>51</v>
      </c>
      <c r="S88">
        <v>302001</v>
      </c>
      <c r="T88" t="s">
        <v>25</v>
      </c>
      <c r="U88" t="s">
        <v>26</v>
      </c>
    </row>
    <row r="89" spans="1:21" x14ac:dyDescent="0.3">
      <c r="A89">
        <v>88</v>
      </c>
      <c r="B89" t="s">
        <v>380</v>
      </c>
      <c r="C89" t="s">
        <v>381</v>
      </c>
      <c r="D89" t="s">
        <v>29</v>
      </c>
      <c r="E89">
        <v>35</v>
      </c>
      <c r="F89" t="str">
        <f t="shared" si="2"/>
        <v>Adult</v>
      </c>
      <c r="G89" t="s">
        <v>382</v>
      </c>
      <c r="H89" t="str">
        <f t="shared" si="3"/>
        <v>Aug</v>
      </c>
      <c r="I89" t="s">
        <v>60</v>
      </c>
      <c r="J89" t="s">
        <v>71</v>
      </c>
      <c r="K89" t="s">
        <v>383</v>
      </c>
      <c r="L89" t="s">
        <v>62</v>
      </c>
      <c r="M89" t="s">
        <v>34</v>
      </c>
      <c r="N89">
        <v>5</v>
      </c>
      <c r="O89" t="s">
        <v>22</v>
      </c>
      <c r="P89">
        <v>2244.0100000000002</v>
      </c>
      <c r="Q89" t="s">
        <v>35</v>
      </c>
      <c r="R89" t="s">
        <v>51</v>
      </c>
      <c r="S89">
        <v>560001</v>
      </c>
      <c r="T89" t="s">
        <v>25</v>
      </c>
      <c r="U89" t="s">
        <v>44</v>
      </c>
    </row>
    <row r="90" spans="1:21" x14ac:dyDescent="0.3">
      <c r="A90">
        <v>89</v>
      </c>
      <c r="B90" t="s">
        <v>384</v>
      </c>
      <c r="C90" t="s">
        <v>385</v>
      </c>
      <c r="D90" t="s">
        <v>15</v>
      </c>
      <c r="E90">
        <v>37</v>
      </c>
      <c r="F90" t="str">
        <f t="shared" si="2"/>
        <v>Adult</v>
      </c>
      <c r="G90" t="s">
        <v>386</v>
      </c>
      <c r="H90" t="str">
        <f t="shared" si="3"/>
        <v>May</v>
      </c>
      <c r="I90" t="s">
        <v>60</v>
      </c>
      <c r="J90" t="s">
        <v>79</v>
      </c>
      <c r="K90" t="s">
        <v>387</v>
      </c>
      <c r="L90" t="s">
        <v>33</v>
      </c>
      <c r="M90" t="s">
        <v>85</v>
      </c>
      <c r="N90">
        <v>5</v>
      </c>
      <c r="O90" t="s">
        <v>22</v>
      </c>
      <c r="P90">
        <v>1174.43</v>
      </c>
      <c r="Q90" t="s">
        <v>35</v>
      </c>
      <c r="R90" t="s">
        <v>51</v>
      </c>
      <c r="S90">
        <v>560001</v>
      </c>
      <c r="T90" t="s">
        <v>25</v>
      </c>
      <c r="U90" t="s">
        <v>44</v>
      </c>
    </row>
    <row r="91" spans="1:21" x14ac:dyDescent="0.3">
      <c r="A91">
        <v>90</v>
      </c>
      <c r="B91" t="s">
        <v>388</v>
      </c>
      <c r="C91" t="s">
        <v>389</v>
      </c>
      <c r="D91" t="s">
        <v>29</v>
      </c>
      <c r="E91">
        <v>33</v>
      </c>
      <c r="F91" t="str">
        <f t="shared" si="2"/>
        <v>Adult</v>
      </c>
      <c r="G91" t="s">
        <v>159</v>
      </c>
      <c r="H91" t="str">
        <f t="shared" si="3"/>
        <v>Aug</v>
      </c>
      <c r="I91" t="s">
        <v>60</v>
      </c>
      <c r="J91" t="s">
        <v>101</v>
      </c>
      <c r="K91" t="s">
        <v>390</v>
      </c>
      <c r="L91" t="s">
        <v>73</v>
      </c>
      <c r="M91" t="s">
        <v>50</v>
      </c>
      <c r="N91">
        <v>3</v>
      </c>
      <c r="O91" t="s">
        <v>22</v>
      </c>
      <c r="P91">
        <v>4761.1099999999997</v>
      </c>
      <c r="Q91" t="s">
        <v>74</v>
      </c>
      <c r="R91" t="s">
        <v>51</v>
      </c>
      <c r="S91">
        <v>226001</v>
      </c>
      <c r="T91" t="s">
        <v>25</v>
      </c>
      <c r="U91" t="s">
        <v>44</v>
      </c>
    </row>
    <row r="92" spans="1:21" x14ac:dyDescent="0.3">
      <c r="A92">
        <v>91</v>
      </c>
      <c r="B92" t="s">
        <v>391</v>
      </c>
      <c r="C92" t="s">
        <v>392</v>
      </c>
      <c r="D92" t="s">
        <v>15</v>
      </c>
      <c r="E92">
        <v>26</v>
      </c>
      <c r="F92" t="str">
        <f t="shared" si="2"/>
        <v>Teenager</v>
      </c>
      <c r="G92" t="s">
        <v>393</v>
      </c>
      <c r="H92" t="str">
        <f t="shared" si="3"/>
        <v>Apr</v>
      </c>
      <c r="I92" t="s">
        <v>60</v>
      </c>
      <c r="J92" t="s">
        <v>71</v>
      </c>
      <c r="K92" t="s">
        <v>394</v>
      </c>
      <c r="L92" t="s">
        <v>20</v>
      </c>
      <c r="M92" t="s">
        <v>21</v>
      </c>
      <c r="N92">
        <v>4</v>
      </c>
      <c r="O92" t="s">
        <v>22</v>
      </c>
      <c r="P92">
        <v>3425.01</v>
      </c>
      <c r="Q92" t="s">
        <v>42</v>
      </c>
      <c r="R92" t="s">
        <v>51</v>
      </c>
      <c r="S92">
        <v>302001</v>
      </c>
      <c r="T92" t="s">
        <v>25</v>
      </c>
      <c r="U92" t="s">
        <v>44</v>
      </c>
    </row>
    <row r="93" spans="1:21" x14ac:dyDescent="0.3">
      <c r="A93">
        <v>92</v>
      </c>
      <c r="B93" t="s">
        <v>395</v>
      </c>
      <c r="C93" t="s">
        <v>396</v>
      </c>
      <c r="D93" t="s">
        <v>15</v>
      </c>
      <c r="E93">
        <v>44</v>
      </c>
      <c r="F93" t="str">
        <f t="shared" si="2"/>
        <v>Adult</v>
      </c>
      <c r="G93" t="s">
        <v>397</v>
      </c>
      <c r="H93" t="str">
        <f t="shared" si="3"/>
        <v>Jun</v>
      </c>
      <c r="I93" t="s">
        <v>60</v>
      </c>
      <c r="J93" t="s">
        <v>71</v>
      </c>
      <c r="K93" t="s">
        <v>398</v>
      </c>
      <c r="L93" t="s">
        <v>107</v>
      </c>
      <c r="M93" t="s">
        <v>34</v>
      </c>
      <c r="N93">
        <v>4</v>
      </c>
      <c r="O93" t="s">
        <v>22</v>
      </c>
      <c r="P93">
        <v>3565.93</v>
      </c>
      <c r="Q93" t="s">
        <v>74</v>
      </c>
      <c r="R93" t="s">
        <v>51</v>
      </c>
      <c r="S93">
        <v>226001</v>
      </c>
      <c r="T93" t="s">
        <v>25</v>
      </c>
      <c r="U93" t="s">
        <v>44</v>
      </c>
    </row>
    <row r="94" spans="1:21" x14ac:dyDescent="0.3">
      <c r="A94">
        <v>93</v>
      </c>
      <c r="B94" t="s">
        <v>399</v>
      </c>
      <c r="C94" t="s">
        <v>400</v>
      </c>
      <c r="D94" t="s">
        <v>15</v>
      </c>
      <c r="E94">
        <v>20</v>
      </c>
      <c r="F94" t="str">
        <f t="shared" si="2"/>
        <v>Teenager</v>
      </c>
      <c r="G94" t="s">
        <v>78</v>
      </c>
      <c r="H94" t="str">
        <f t="shared" si="3"/>
        <v>Aug</v>
      </c>
      <c r="I94" t="s">
        <v>60</v>
      </c>
      <c r="J94" t="s">
        <v>40</v>
      </c>
      <c r="K94" t="s">
        <v>401</v>
      </c>
      <c r="L94" t="s">
        <v>73</v>
      </c>
      <c r="M94" t="s">
        <v>85</v>
      </c>
      <c r="N94">
        <v>4</v>
      </c>
      <c r="O94" t="s">
        <v>22</v>
      </c>
      <c r="P94">
        <v>2333.0100000000002</v>
      </c>
      <c r="Q94" t="s">
        <v>74</v>
      </c>
      <c r="R94" t="s">
        <v>51</v>
      </c>
      <c r="S94">
        <v>226001</v>
      </c>
      <c r="T94" t="s">
        <v>25</v>
      </c>
      <c r="U94" t="s">
        <v>26</v>
      </c>
    </row>
    <row r="95" spans="1:21" x14ac:dyDescent="0.3">
      <c r="A95">
        <v>94</v>
      </c>
      <c r="B95" t="s">
        <v>402</v>
      </c>
      <c r="C95" t="s">
        <v>403</v>
      </c>
      <c r="D95" t="s">
        <v>15</v>
      </c>
      <c r="E95">
        <v>24</v>
      </c>
      <c r="F95" t="str">
        <f t="shared" si="2"/>
        <v>Teenager</v>
      </c>
      <c r="G95" t="s">
        <v>404</v>
      </c>
      <c r="H95" t="str">
        <f t="shared" si="3"/>
        <v>Feb</v>
      </c>
      <c r="I95" t="s">
        <v>60</v>
      </c>
      <c r="J95" t="s">
        <v>71</v>
      </c>
      <c r="K95" t="s">
        <v>405</v>
      </c>
      <c r="L95" t="s">
        <v>73</v>
      </c>
      <c r="M95" t="s">
        <v>85</v>
      </c>
      <c r="N95">
        <v>1</v>
      </c>
      <c r="O95" t="s">
        <v>22</v>
      </c>
      <c r="P95">
        <v>565.9</v>
      </c>
      <c r="Q95" t="s">
        <v>74</v>
      </c>
      <c r="R95" t="s">
        <v>51</v>
      </c>
      <c r="S95">
        <v>226001</v>
      </c>
      <c r="T95" t="s">
        <v>25</v>
      </c>
      <c r="U95" t="s">
        <v>44</v>
      </c>
    </row>
    <row r="96" spans="1:21" x14ac:dyDescent="0.3">
      <c r="A96">
        <v>95</v>
      </c>
      <c r="B96" t="s">
        <v>406</v>
      </c>
      <c r="C96" t="s">
        <v>407</v>
      </c>
      <c r="D96" t="s">
        <v>15</v>
      </c>
      <c r="E96">
        <v>41</v>
      </c>
      <c r="F96" t="str">
        <f t="shared" si="2"/>
        <v>Adult</v>
      </c>
      <c r="G96" t="s">
        <v>408</v>
      </c>
      <c r="H96" t="str">
        <f t="shared" si="3"/>
        <v>Mar</v>
      </c>
      <c r="I96" t="s">
        <v>60</v>
      </c>
      <c r="J96" t="s">
        <v>18</v>
      </c>
      <c r="K96" t="s">
        <v>409</v>
      </c>
      <c r="L96" t="s">
        <v>107</v>
      </c>
      <c r="M96" t="s">
        <v>50</v>
      </c>
      <c r="N96">
        <v>1</v>
      </c>
      <c r="O96" t="s">
        <v>22</v>
      </c>
      <c r="P96">
        <v>1236.1099999999999</v>
      </c>
      <c r="Q96" t="s">
        <v>74</v>
      </c>
      <c r="R96" t="s">
        <v>51</v>
      </c>
      <c r="S96">
        <v>226001</v>
      </c>
      <c r="T96" t="s">
        <v>25</v>
      </c>
      <c r="U96" t="s">
        <v>26</v>
      </c>
    </row>
    <row r="97" spans="1:21" x14ac:dyDescent="0.3">
      <c r="A97">
        <v>96</v>
      </c>
      <c r="B97" t="s">
        <v>410</v>
      </c>
      <c r="C97" t="s">
        <v>411</v>
      </c>
      <c r="D97" t="s">
        <v>29</v>
      </c>
      <c r="E97">
        <v>39</v>
      </c>
      <c r="F97" t="str">
        <f t="shared" si="2"/>
        <v>Adult</v>
      </c>
      <c r="G97" t="s">
        <v>175</v>
      </c>
      <c r="H97" t="str">
        <f t="shared" si="3"/>
        <v>Apr</v>
      </c>
      <c r="I97" t="s">
        <v>60</v>
      </c>
      <c r="J97" t="s">
        <v>101</v>
      </c>
      <c r="K97" t="s">
        <v>412</v>
      </c>
      <c r="L97" t="s">
        <v>20</v>
      </c>
      <c r="M97" t="s">
        <v>34</v>
      </c>
      <c r="N97">
        <v>1</v>
      </c>
      <c r="O97" t="s">
        <v>22</v>
      </c>
      <c r="P97">
        <v>3120.26</v>
      </c>
      <c r="Q97" t="s">
        <v>23</v>
      </c>
      <c r="R97" t="s">
        <v>51</v>
      </c>
      <c r="S97">
        <v>400001</v>
      </c>
      <c r="T97" t="s">
        <v>25</v>
      </c>
      <c r="U97" t="s">
        <v>44</v>
      </c>
    </row>
    <row r="98" spans="1:21" x14ac:dyDescent="0.3">
      <c r="A98">
        <v>97</v>
      </c>
      <c r="B98" t="s">
        <v>413</v>
      </c>
      <c r="C98" t="s">
        <v>414</v>
      </c>
      <c r="D98" t="s">
        <v>29</v>
      </c>
      <c r="E98">
        <v>46</v>
      </c>
      <c r="F98" t="str">
        <f t="shared" si="2"/>
        <v>Adult</v>
      </c>
      <c r="G98" t="s">
        <v>415</v>
      </c>
      <c r="H98" t="str">
        <f t="shared" si="3"/>
        <v>Aug</v>
      </c>
      <c r="I98" t="s">
        <v>60</v>
      </c>
      <c r="J98" t="s">
        <v>101</v>
      </c>
      <c r="K98" t="s">
        <v>416</v>
      </c>
      <c r="L98" t="s">
        <v>20</v>
      </c>
      <c r="M98" t="s">
        <v>34</v>
      </c>
      <c r="N98">
        <v>1</v>
      </c>
      <c r="O98" t="s">
        <v>22</v>
      </c>
      <c r="P98">
        <v>2116.98</v>
      </c>
      <c r="Q98" t="s">
        <v>74</v>
      </c>
      <c r="R98" t="s">
        <v>51</v>
      </c>
      <c r="S98">
        <v>226001</v>
      </c>
      <c r="T98" t="s">
        <v>25</v>
      </c>
      <c r="U98" t="s">
        <v>26</v>
      </c>
    </row>
    <row r="99" spans="1:21" x14ac:dyDescent="0.3">
      <c r="A99">
        <v>98</v>
      </c>
      <c r="B99" t="s">
        <v>417</v>
      </c>
      <c r="C99" t="s">
        <v>418</v>
      </c>
      <c r="D99" t="s">
        <v>15</v>
      </c>
      <c r="E99">
        <v>44</v>
      </c>
      <c r="F99" t="str">
        <f t="shared" si="2"/>
        <v>Adult</v>
      </c>
      <c r="G99" t="s">
        <v>419</v>
      </c>
      <c r="H99" t="str">
        <f t="shared" si="3"/>
        <v>Jun</v>
      </c>
      <c r="I99" t="s">
        <v>60</v>
      </c>
      <c r="J99" t="s">
        <v>40</v>
      </c>
      <c r="K99" t="s">
        <v>420</v>
      </c>
      <c r="L99" t="s">
        <v>73</v>
      </c>
      <c r="M99" t="s">
        <v>34</v>
      </c>
      <c r="N99">
        <v>5</v>
      </c>
      <c r="O99" t="s">
        <v>22</v>
      </c>
      <c r="P99">
        <v>4655.4799999999996</v>
      </c>
      <c r="Q99" t="s">
        <v>51</v>
      </c>
      <c r="R99" t="s">
        <v>51</v>
      </c>
      <c r="S99">
        <v>110001</v>
      </c>
      <c r="T99" t="s">
        <v>25</v>
      </c>
      <c r="U99" t="s">
        <v>44</v>
      </c>
    </row>
    <row r="100" spans="1:21" x14ac:dyDescent="0.3">
      <c r="A100">
        <v>99</v>
      </c>
      <c r="B100" t="s">
        <v>421</v>
      </c>
      <c r="C100" t="s">
        <v>422</v>
      </c>
      <c r="D100" t="s">
        <v>29</v>
      </c>
      <c r="E100">
        <v>44</v>
      </c>
      <c r="F100" t="str">
        <f t="shared" si="2"/>
        <v>Adult</v>
      </c>
      <c r="G100" t="s">
        <v>54</v>
      </c>
      <c r="H100" t="str">
        <f t="shared" si="3"/>
        <v>Jun</v>
      </c>
      <c r="I100" t="s">
        <v>60</v>
      </c>
      <c r="J100" t="s">
        <v>31</v>
      </c>
      <c r="K100" t="s">
        <v>423</v>
      </c>
      <c r="L100" t="s">
        <v>62</v>
      </c>
      <c r="M100" t="s">
        <v>50</v>
      </c>
      <c r="N100">
        <v>3</v>
      </c>
      <c r="O100" t="s">
        <v>22</v>
      </c>
      <c r="P100">
        <v>3642.93</v>
      </c>
      <c r="Q100" t="s">
        <v>74</v>
      </c>
      <c r="R100" t="s">
        <v>75</v>
      </c>
      <c r="S100">
        <v>226001</v>
      </c>
      <c r="T100" t="s">
        <v>25</v>
      </c>
      <c r="U100" t="s">
        <v>26</v>
      </c>
    </row>
    <row r="101" spans="1:21" x14ac:dyDescent="0.3">
      <c r="A101">
        <v>100</v>
      </c>
      <c r="B101" t="s">
        <v>424</v>
      </c>
      <c r="C101" t="s">
        <v>425</v>
      </c>
      <c r="D101" t="s">
        <v>15</v>
      </c>
      <c r="E101">
        <v>37</v>
      </c>
      <c r="F101" t="str">
        <f t="shared" si="2"/>
        <v>Adult</v>
      </c>
      <c r="G101" t="s">
        <v>426</v>
      </c>
      <c r="H101" t="str">
        <f t="shared" si="3"/>
        <v>Nov</v>
      </c>
      <c r="I101" t="s">
        <v>60</v>
      </c>
      <c r="J101" t="s">
        <v>31</v>
      </c>
      <c r="K101" t="s">
        <v>427</v>
      </c>
      <c r="L101" t="s">
        <v>33</v>
      </c>
      <c r="M101" t="s">
        <v>85</v>
      </c>
      <c r="N101">
        <v>5</v>
      </c>
      <c r="O101" t="s">
        <v>22</v>
      </c>
      <c r="P101">
        <v>4695.95</v>
      </c>
      <c r="Q101" t="s">
        <v>74</v>
      </c>
      <c r="R101" t="s">
        <v>75</v>
      </c>
      <c r="S101">
        <v>226001</v>
      </c>
      <c r="T101" t="s">
        <v>25</v>
      </c>
      <c r="U101" t="s">
        <v>44</v>
      </c>
    </row>
    <row r="102" spans="1:21" x14ac:dyDescent="0.3">
      <c r="A102">
        <v>101</v>
      </c>
      <c r="B102" t="s">
        <v>428</v>
      </c>
      <c r="C102" t="s">
        <v>429</v>
      </c>
      <c r="D102" t="s">
        <v>15</v>
      </c>
      <c r="E102">
        <v>30</v>
      </c>
      <c r="F102" t="str">
        <f t="shared" si="2"/>
        <v>Adult</v>
      </c>
      <c r="G102" t="s">
        <v>430</v>
      </c>
      <c r="H102" t="str">
        <f t="shared" si="3"/>
        <v>Mar</v>
      </c>
      <c r="I102" t="s">
        <v>60</v>
      </c>
      <c r="J102" t="s">
        <v>18</v>
      </c>
      <c r="K102" t="s">
        <v>431</v>
      </c>
      <c r="L102" t="s">
        <v>20</v>
      </c>
      <c r="M102" t="s">
        <v>21</v>
      </c>
      <c r="N102">
        <v>3</v>
      </c>
      <c r="O102" t="s">
        <v>22</v>
      </c>
      <c r="P102">
        <v>3064.77</v>
      </c>
      <c r="Q102" t="s">
        <v>23</v>
      </c>
      <c r="R102" t="s">
        <v>24</v>
      </c>
      <c r="S102">
        <v>400001</v>
      </c>
      <c r="T102" t="s">
        <v>25</v>
      </c>
      <c r="U102" t="s">
        <v>44</v>
      </c>
    </row>
    <row r="103" spans="1:21" x14ac:dyDescent="0.3">
      <c r="A103">
        <v>102</v>
      </c>
      <c r="B103" t="s">
        <v>432</v>
      </c>
      <c r="C103" t="s">
        <v>433</v>
      </c>
      <c r="D103" t="s">
        <v>29</v>
      </c>
      <c r="E103">
        <v>60</v>
      </c>
      <c r="F103" t="str">
        <f t="shared" si="2"/>
        <v>Senior</v>
      </c>
      <c r="G103" t="s">
        <v>434</v>
      </c>
      <c r="H103" t="str">
        <f t="shared" si="3"/>
        <v>Apr</v>
      </c>
      <c r="I103" t="s">
        <v>60</v>
      </c>
      <c r="J103" t="s">
        <v>40</v>
      </c>
      <c r="K103" t="s">
        <v>435</v>
      </c>
      <c r="L103" t="s">
        <v>107</v>
      </c>
      <c r="M103" t="s">
        <v>50</v>
      </c>
      <c r="N103">
        <v>3</v>
      </c>
      <c r="O103" t="s">
        <v>22</v>
      </c>
      <c r="P103">
        <v>1952.74</v>
      </c>
      <c r="Q103" t="s">
        <v>35</v>
      </c>
      <c r="R103" t="s">
        <v>36</v>
      </c>
      <c r="S103">
        <v>560001</v>
      </c>
      <c r="T103" t="s">
        <v>25</v>
      </c>
      <c r="U103" t="s">
        <v>44</v>
      </c>
    </row>
    <row r="104" spans="1:21" x14ac:dyDescent="0.3">
      <c r="A104">
        <v>103</v>
      </c>
      <c r="B104" t="s">
        <v>436</v>
      </c>
      <c r="C104" t="s">
        <v>437</v>
      </c>
      <c r="D104" t="s">
        <v>29</v>
      </c>
      <c r="E104">
        <v>27</v>
      </c>
      <c r="F104" t="str">
        <f t="shared" si="2"/>
        <v>Teenager</v>
      </c>
      <c r="G104" t="s">
        <v>438</v>
      </c>
      <c r="H104" t="str">
        <f t="shared" si="3"/>
        <v>Sep</v>
      </c>
      <c r="I104" t="s">
        <v>60</v>
      </c>
      <c r="J104" t="s">
        <v>79</v>
      </c>
      <c r="K104" t="s">
        <v>439</v>
      </c>
      <c r="L104" t="s">
        <v>107</v>
      </c>
      <c r="M104" t="s">
        <v>21</v>
      </c>
      <c r="N104">
        <v>4</v>
      </c>
      <c r="O104" t="s">
        <v>22</v>
      </c>
      <c r="P104">
        <v>4513.07</v>
      </c>
      <c r="Q104" t="s">
        <v>42</v>
      </c>
      <c r="R104" t="s">
        <v>43</v>
      </c>
      <c r="S104">
        <v>302001</v>
      </c>
      <c r="T104" t="s">
        <v>25</v>
      </c>
      <c r="U104" t="s">
        <v>26</v>
      </c>
    </row>
    <row r="105" spans="1:21" x14ac:dyDescent="0.3">
      <c r="A105">
        <v>104</v>
      </c>
      <c r="B105" t="s">
        <v>440</v>
      </c>
      <c r="C105" t="s">
        <v>441</v>
      </c>
      <c r="D105" t="s">
        <v>15</v>
      </c>
      <c r="E105">
        <v>53</v>
      </c>
      <c r="F105" t="str">
        <f t="shared" si="2"/>
        <v>Senior</v>
      </c>
      <c r="G105" t="s">
        <v>386</v>
      </c>
      <c r="H105" t="str">
        <f t="shared" si="3"/>
        <v>May</v>
      </c>
      <c r="I105" t="s">
        <v>60</v>
      </c>
      <c r="J105" t="s">
        <v>31</v>
      </c>
      <c r="K105" t="s">
        <v>442</v>
      </c>
      <c r="L105" t="s">
        <v>33</v>
      </c>
      <c r="M105" t="s">
        <v>85</v>
      </c>
      <c r="N105">
        <v>1</v>
      </c>
      <c r="O105" t="s">
        <v>22</v>
      </c>
      <c r="P105">
        <v>2488.66</v>
      </c>
      <c r="Q105" t="s">
        <v>51</v>
      </c>
      <c r="R105" t="s">
        <v>51</v>
      </c>
      <c r="S105">
        <v>110001</v>
      </c>
      <c r="T105" t="s">
        <v>25</v>
      </c>
      <c r="U105" t="s">
        <v>44</v>
      </c>
    </row>
    <row r="106" spans="1:21" x14ac:dyDescent="0.3">
      <c r="A106">
        <v>105</v>
      </c>
      <c r="B106" t="s">
        <v>443</v>
      </c>
      <c r="C106" t="s">
        <v>444</v>
      </c>
      <c r="D106" t="s">
        <v>29</v>
      </c>
      <c r="E106">
        <v>44</v>
      </c>
      <c r="F106" t="str">
        <f t="shared" si="2"/>
        <v>Adult</v>
      </c>
      <c r="G106" t="s">
        <v>445</v>
      </c>
      <c r="H106" t="str">
        <f t="shared" si="3"/>
        <v>May</v>
      </c>
      <c r="I106" t="s">
        <v>60</v>
      </c>
      <c r="J106" t="s">
        <v>31</v>
      </c>
      <c r="K106" t="s">
        <v>446</v>
      </c>
      <c r="L106" t="s">
        <v>20</v>
      </c>
      <c r="M106" t="s">
        <v>50</v>
      </c>
      <c r="N106">
        <v>5</v>
      </c>
      <c r="O106" t="s">
        <v>22</v>
      </c>
      <c r="P106">
        <v>4320.93</v>
      </c>
      <c r="Q106" t="s">
        <v>51</v>
      </c>
      <c r="R106" t="s">
        <v>51</v>
      </c>
      <c r="S106">
        <v>110001</v>
      </c>
      <c r="T106" t="s">
        <v>25</v>
      </c>
      <c r="U106" t="s">
        <v>26</v>
      </c>
    </row>
    <row r="107" spans="1:21" x14ac:dyDescent="0.3">
      <c r="A107">
        <v>106</v>
      </c>
      <c r="B107" t="s">
        <v>447</v>
      </c>
      <c r="C107" t="s">
        <v>448</v>
      </c>
      <c r="D107" t="s">
        <v>29</v>
      </c>
      <c r="E107">
        <v>22</v>
      </c>
      <c r="F107" t="str">
        <f t="shared" si="2"/>
        <v>Teenager</v>
      </c>
      <c r="G107" t="s">
        <v>449</v>
      </c>
      <c r="H107" t="str">
        <f t="shared" si="3"/>
        <v>Aug</v>
      </c>
      <c r="I107" t="s">
        <v>60</v>
      </c>
      <c r="J107" t="s">
        <v>31</v>
      </c>
      <c r="K107" t="s">
        <v>450</v>
      </c>
      <c r="L107" t="s">
        <v>33</v>
      </c>
      <c r="M107" t="s">
        <v>34</v>
      </c>
      <c r="N107">
        <v>1</v>
      </c>
      <c r="O107" t="s">
        <v>22</v>
      </c>
      <c r="P107">
        <v>3596.54</v>
      </c>
      <c r="Q107" t="s">
        <v>74</v>
      </c>
      <c r="R107" t="s">
        <v>51</v>
      </c>
      <c r="S107">
        <v>226001</v>
      </c>
      <c r="T107" t="s">
        <v>25</v>
      </c>
      <c r="U107" t="s">
        <v>44</v>
      </c>
    </row>
    <row r="108" spans="1:21" x14ac:dyDescent="0.3">
      <c r="A108">
        <v>107</v>
      </c>
      <c r="B108" t="s">
        <v>451</v>
      </c>
      <c r="C108" t="s">
        <v>452</v>
      </c>
      <c r="D108" t="s">
        <v>29</v>
      </c>
      <c r="E108">
        <v>58</v>
      </c>
      <c r="F108" t="str">
        <f t="shared" si="2"/>
        <v>Senior</v>
      </c>
      <c r="G108" t="s">
        <v>453</v>
      </c>
      <c r="H108" t="str">
        <f t="shared" si="3"/>
        <v>Jun</v>
      </c>
      <c r="I108" t="s">
        <v>60</v>
      </c>
      <c r="J108" t="s">
        <v>31</v>
      </c>
      <c r="K108" t="s">
        <v>454</v>
      </c>
      <c r="L108" t="s">
        <v>56</v>
      </c>
      <c r="M108" t="s">
        <v>34</v>
      </c>
      <c r="N108">
        <v>4</v>
      </c>
      <c r="O108" t="s">
        <v>22</v>
      </c>
      <c r="P108">
        <v>649.27</v>
      </c>
      <c r="Q108" t="s">
        <v>74</v>
      </c>
      <c r="R108" t="s">
        <v>51</v>
      </c>
      <c r="S108">
        <v>226001</v>
      </c>
      <c r="T108" t="s">
        <v>25</v>
      </c>
      <c r="U108" t="s">
        <v>26</v>
      </c>
    </row>
    <row r="109" spans="1:21" x14ac:dyDescent="0.3">
      <c r="A109">
        <v>108</v>
      </c>
      <c r="B109" t="s">
        <v>455</v>
      </c>
      <c r="C109" t="s">
        <v>456</v>
      </c>
      <c r="D109" t="s">
        <v>15</v>
      </c>
      <c r="E109">
        <v>55</v>
      </c>
      <c r="F109" t="str">
        <f t="shared" si="2"/>
        <v>Senior</v>
      </c>
      <c r="G109" t="s">
        <v>457</v>
      </c>
      <c r="H109" t="str">
        <f t="shared" si="3"/>
        <v>Oct</v>
      </c>
      <c r="I109" t="s">
        <v>60</v>
      </c>
      <c r="J109" t="s">
        <v>31</v>
      </c>
      <c r="K109" t="s">
        <v>458</v>
      </c>
      <c r="L109" t="s">
        <v>20</v>
      </c>
      <c r="M109" t="s">
        <v>34</v>
      </c>
      <c r="N109">
        <v>3</v>
      </c>
      <c r="O109" t="s">
        <v>22</v>
      </c>
      <c r="P109">
        <v>2381.87</v>
      </c>
      <c r="Q109" t="s">
        <v>74</v>
      </c>
      <c r="R109" t="s">
        <v>51</v>
      </c>
      <c r="S109">
        <v>226001</v>
      </c>
      <c r="T109" t="s">
        <v>25</v>
      </c>
      <c r="U109" t="s">
        <v>26</v>
      </c>
    </row>
    <row r="110" spans="1:21" x14ac:dyDescent="0.3">
      <c r="A110">
        <v>109</v>
      </c>
      <c r="B110" t="s">
        <v>459</v>
      </c>
      <c r="C110" t="s">
        <v>460</v>
      </c>
      <c r="D110" t="s">
        <v>29</v>
      </c>
      <c r="E110">
        <v>42</v>
      </c>
      <c r="F110" t="str">
        <f t="shared" si="2"/>
        <v>Adult</v>
      </c>
      <c r="G110" t="s">
        <v>461</v>
      </c>
      <c r="H110" t="str">
        <f t="shared" si="3"/>
        <v>Jun</v>
      </c>
      <c r="I110" t="s">
        <v>60</v>
      </c>
      <c r="J110" t="s">
        <v>31</v>
      </c>
      <c r="K110" t="s">
        <v>462</v>
      </c>
      <c r="L110" t="s">
        <v>20</v>
      </c>
      <c r="M110" t="s">
        <v>50</v>
      </c>
      <c r="N110">
        <v>3</v>
      </c>
      <c r="O110" t="s">
        <v>22</v>
      </c>
      <c r="P110">
        <v>916.84</v>
      </c>
      <c r="Q110" t="s">
        <v>51</v>
      </c>
      <c r="R110" t="s">
        <v>51</v>
      </c>
      <c r="S110">
        <v>110001</v>
      </c>
      <c r="T110" t="s">
        <v>25</v>
      </c>
      <c r="U110" t="s">
        <v>26</v>
      </c>
    </row>
    <row r="111" spans="1:21" x14ac:dyDescent="0.3">
      <c r="A111">
        <v>110</v>
      </c>
      <c r="B111" t="s">
        <v>463</v>
      </c>
      <c r="C111" t="s">
        <v>464</v>
      </c>
      <c r="D111" t="s">
        <v>29</v>
      </c>
      <c r="E111">
        <v>57</v>
      </c>
      <c r="F111" t="str">
        <f t="shared" si="2"/>
        <v>Senior</v>
      </c>
      <c r="G111" t="s">
        <v>465</v>
      </c>
      <c r="H111" t="str">
        <f t="shared" si="3"/>
        <v>Jan</v>
      </c>
      <c r="I111" t="s">
        <v>60</v>
      </c>
      <c r="J111" t="s">
        <v>31</v>
      </c>
      <c r="K111" t="s">
        <v>466</v>
      </c>
      <c r="L111" t="s">
        <v>56</v>
      </c>
      <c r="M111" t="s">
        <v>50</v>
      </c>
      <c r="N111">
        <v>4</v>
      </c>
      <c r="O111" t="s">
        <v>22</v>
      </c>
      <c r="P111">
        <v>2548.6999999999998</v>
      </c>
      <c r="Q111" t="s">
        <v>42</v>
      </c>
      <c r="R111" t="s">
        <v>43</v>
      </c>
      <c r="S111">
        <v>302001</v>
      </c>
      <c r="T111" t="s">
        <v>25</v>
      </c>
      <c r="U111" t="s">
        <v>44</v>
      </c>
    </row>
    <row r="112" spans="1:21" x14ac:dyDescent="0.3">
      <c r="A112">
        <v>111</v>
      </c>
      <c r="B112" t="s">
        <v>467</v>
      </c>
      <c r="C112" t="s">
        <v>468</v>
      </c>
      <c r="D112" t="s">
        <v>29</v>
      </c>
      <c r="E112">
        <v>50</v>
      </c>
      <c r="F112" t="str">
        <f t="shared" si="2"/>
        <v>Senior</v>
      </c>
      <c r="G112" t="s">
        <v>469</v>
      </c>
      <c r="H112" t="str">
        <f t="shared" si="3"/>
        <v>Mar</v>
      </c>
      <c r="I112" t="s">
        <v>60</v>
      </c>
      <c r="J112" t="s">
        <v>31</v>
      </c>
      <c r="K112" t="s">
        <v>470</v>
      </c>
      <c r="L112" t="s">
        <v>20</v>
      </c>
      <c r="M112" t="s">
        <v>85</v>
      </c>
      <c r="N112">
        <v>3</v>
      </c>
      <c r="O112" t="s">
        <v>22</v>
      </c>
      <c r="P112">
        <v>937.83</v>
      </c>
      <c r="Q112" t="s">
        <v>51</v>
      </c>
      <c r="R112" t="s">
        <v>51</v>
      </c>
      <c r="S112">
        <v>110001</v>
      </c>
      <c r="T112" t="s">
        <v>25</v>
      </c>
      <c r="U112" t="s">
        <v>26</v>
      </c>
    </row>
    <row r="113" spans="1:21" x14ac:dyDescent="0.3">
      <c r="A113">
        <v>112</v>
      </c>
      <c r="B113" t="s">
        <v>471</v>
      </c>
      <c r="C113" t="s">
        <v>472</v>
      </c>
      <c r="D113" t="s">
        <v>15</v>
      </c>
      <c r="E113">
        <v>28</v>
      </c>
      <c r="F113" t="str">
        <f t="shared" si="2"/>
        <v>Teenager</v>
      </c>
      <c r="G113" t="s">
        <v>473</v>
      </c>
      <c r="H113" t="str">
        <f t="shared" si="3"/>
        <v>Jun</v>
      </c>
      <c r="I113" t="s">
        <v>60</v>
      </c>
      <c r="J113" t="s">
        <v>31</v>
      </c>
      <c r="K113" t="s">
        <v>474</v>
      </c>
      <c r="L113" t="s">
        <v>56</v>
      </c>
      <c r="M113" t="s">
        <v>34</v>
      </c>
      <c r="N113">
        <v>1</v>
      </c>
      <c r="O113" t="s">
        <v>22</v>
      </c>
      <c r="P113">
        <v>1308.6199999999999</v>
      </c>
      <c r="Q113" t="s">
        <v>51</v>
      </c>
      <c r="R113" t="s">
        <v>51</v>
      </c>
      <c r="S113">
        <v>110001</v>
      </c>
      <c r="T113" t="s">
        <v>25</v>
      </c>
      <c r="U113" t="s">
        <v>26</v>
      </c>
    </row>
    <row r="114" spans="1:21" x14ac:dyDescent="0.3">
      <c r="A114">
        <v>113</v>
      </c>
      <c r="B114" t="s">
        <v>475</v>
      </c>
      <c r="C114" t="s">
        <v>476</v>
      </c>
      <c r="D114" t="s">
        <v>29</v>
      </c>
      <c r="E114">
        <v>33</v>
      </c>
      <c r="F114" t="str">
        <f t="shared" si="2"/>
        <v>Adult</v>
      </c>
      <c r="G114" t="s">
        <v>477</v>
      </c>
      <c r="H114" t="str">
        <f t="shared" si="3"/>
        <v>Apr</v>
      </c>
      <c r="I114" t="s">
        <v>60</v>
      </c>
      <c r="J114" t="s">
        <v>31</v>
      </c>
      <c r="K114" t="s">
        <v>478</v>
      </c>
      <c r="L114" t="s">
        <v>56</v>
      </c>
      <c r="M114" t="s">
        <v>21</v>
      </c>
      <c r="N114">
        <v>4</v>
      </c>
      <c r="O114" t="s">
        <v>22</v>
      </c>
      <c r="P114">
        <v>3277.44</v>
      </c>
      <c r="Q114" t="s">
        <v>35</v>
      </c>
      <c r="R114" t="s">
        <v>36</v>
      </c>
      <c r="S114">
        <v>560001</v>
      </c>
      <c r="T114" t="s">
        <v>25</v>
      </c>
      <c r="U114" t="s">
        <v>26</v>
      </c>
    </row>
    <row r="115" spans="1:21" x14ac:dyDescent="0.3">
      <c r="A115">
        <v>114</v>
      </c>
      <c r="B115" t="s">
        <v>479</v>
      </c>
      <c r="C115" t="s">
        <v>480</v>
      </c>
      <c r="D115" t="s">
        <v>29</v>
      </c>
      <c r="E115">
        <v>32</v>
      </c>
      <c r="F115" t="str">
        <f t="shared" si="2"/>
        <v>Adult</v>
      </c>
      <c r="G115" t="s">
        <v>481</v>
      </c>
      <c r="H115" t="str">
        <f t="shared" si="3"/>
        <v>Jan</v>
      </c>
      <c r="I115" t="s">
        <v>60</v>
      </c>
      <c r="J115" t="s">
        <v>31</v>
      </c>
      <c r="K115" t="s">
        <v>482</v>
      </c>
      <c r="L115" t="s">
        <v>62</v>
      </c>
      <c r="M115" t="s">
        <v>50</v>
      </c>
      <c r="N115">
        <v>4</v>
      </c>
      <c r="O115" t="s">
        <v>22</v>
      </c>
      <c r="P115">
        <v>2952.27</v>
      </c>
      <c r="Q115" t="s">
        <v>42</v>
      </c>
      <c r="R115" t="s">
        <v>43</v>
      </c>
      <c r="S115">
        <v>302001</v>
      </c>
      <c r="T115" t="s">
        <v>25</v>
      </c>
      <c r="U115" t="s">
        <v>44</v>
      </c>
    </row>
    <row r="116" spans="1:21" x14ac:dyDescent="0.3">
      <c r="A116">
        <v>115</v>
      </c>
      <c r="B116" t="s">
        <v>483</v>
      </c>
      <c r="C116" t="s">
        <v>484</v>
      </c>
      <c r="D116" t="s">
        <v>15</v>
      </c>
      <c r="E116">
        <v>18</v>
      </c>
      <c r="F116" t="str">
        <f t="shared" si="2"/>
        <v>Teenager</v>
      </c>
      <c r="G116" t="s">
        <v>246</v>
      </c>
      <c r="H116" t="str">
        <f t="shared" si="3"/>
        <v>Nov</v>
      </c>
      <c r="I116" t="s">
        <v>60</v>
      </c>
      <c r="J116" t="s">
        <v>31</v>
      </c>
      <c r="K116" t="s">
        <v>485</v>
      </c>
      <c r="L116" t="s">
        <v>62</v>
      </c>
      <c r="M116" t="s">
        <v>50</v>
      </c>
      <c r="N116">
        <v>3</v>
      </c>
      <c r="O116" t="s">
        <v>22</v>
      </c>
      <c r="P116">
        <v>408.43</v>
      </c>
      <c r="Q116" t="s">
        <v>23</v>
      </c>
      <c r="R116" t="s">
        <v>43</v>
      </c>
      <c r="S116">
        <v>400001</v>
      </c>
      <c r="T116" t="s">
        <v>25</v>
      </c>
      <c r="U116" t="s">
        <v>26</v>
      </c>
    </row>
    <row r="117" spans="1:21" x14ac:dyDescent="0.3">
      <c r="A117">
        <v>116</v>
      </c>
      <c r="B117" t="s">
        <v>486</v>
      </c>
      <c r="C117" t="s">
        <v>487</v>
      </c>
      <c r="D117" t="s">
        <v>29</v>
      </c>
      <c r="E117">
        <v>39</v>
      </c>
      <c r="F117" t="str">
        <f t="shared" si="2"/>
        <v>Adult</v>
      </c>
      <c r="G117" t="s">
        <v>488</v>
      </c>
      <c r="H117" t="str">
        <f t="shared" si="3"/>
        <v>Oct</v>
      </c>
      <c r="I117" t="s">
        <v>60</v>
      </c>
      <c r="J117" t="s">
        <v>31</v>
      </c>
      <c r="K117" t="s">
        <v>489</v>
      </c>
      <c r="L117" t="s">
        <v>107</v>
      </c>
      <c r="M117" t="s">
        <v>21</v>
      </c>
      <c r="N117">
        <v>2</v>
      </c>
      <c r="O117" t="s">
        <v>22</v>
      </c>
      <c r="P117">
        <v>2153.79</v>
      </c>
      <c r="Q117" t="s">
        <v>35</v>
      </c>
      <c r="R117" t="s">
        <v>43</v>
      </c>
      <c r="S117">
        <v>560001</v>
      </c>
      <c r="T117" t="s">
        <v>25</v>
      </c>
      <c r="U117" t="s">
        <v>26</v>
      </c>
    </row>
    <row r="118" spans="1:21" x14ac:dyDescent="0.3">
      <c r="A118">
        <v>117</v>
      </c>
      <c r="B118" t="s">
        <v>490</v>
      </c>
      <c r="C118" t="s">
        <v>491</v>
      </c>
      <c r="D118" t="s">
        <v>15</v>
      </c>
      <c r="E118">
        <v>36</v>
      </c>
      <c r="F118" t="str">
        <f t="shared" si="2"/>
        <v>Adult</v>
      </c>
      <c r="G118" t="s">
        <v>492</v>
      </c>
      <c r="H118" t="str">
        <f t="shared" si="3"/>
        <v>Dec</v>
      </c>
      <c r="I118" t="s">
        <v>60</v>
      </c>
      <c r="J118" t="s">
        <v>31</v>
      </c>
      <c r="K118" t="s">
        <v>493</v>
      </c>
      <c r="L118" t="s">
        <v>33</v>
      </c>
      <c r="M118" t="s">
        <v>85</v>
      </c>
      <c r="N118">
        <v>2</v>
      </c>
      <c r="O118" t="s">
        <v>22</v>
      </c>
      <c r="P118">
        <v>1416.91</v>
      </c>
      <c r="Q118" t="s">
        <v>42</v>
      </c>
      <c r="R118" t="s">
        <v>43</v>
      </c>
      <c r="S118">
        <v>302001</v>
      </c>
      <c r="T118" t="s">
        <v>25</v>
      </c>
      <c r="U118" t="s">
        <v>26</v>
      </c>
    </row>
    <row r="119" spans="1:21" x14ac:dyDescent="0.3">
      <c r="A119">
        <v>118</v>
      </c>
      <c r="B119" t="s">
        <v>494</v>
      </c>
      <c r="C119" t="s">
        <v>495</v>
      </c>
      <c r="D119" t="s">
        <v>15</v>
      </c>
      <c r="E119">
        <v>20</v>
      </c>
      <c r="F119" t="str">
        <f t="shared" si="2"/>
        <v>Teenager</v>
      </c>
      <c r="G119" t="s">
        <v>496</v>
      </c>
      <c r="H119" t="str">
        <f t="shared" si="3"/>
        <v>Dec</v>
      </c>
      <c r="I119" t="s">
        <v>60</v>
      </c>
      <c r="J119" t="s">
        <v>31</v>
      </c>
      <c r="K119" t="s">
        <v>497</v>
      </c>
      <c r="L119" t="s">
        <v>73</v>
      </c>
      <c r="M119" t="s">
        <v>50</v>
      </c>
      <c r="N119">
        <v>3</v>
      </c>
      <c r="O119" t="s">
        <v>22</v>
      </c>
      <c r="P119">
        <v>1973.23</v>
      </c>
      <c r="Q119" t="s">
        <v>35</v>
      </c>
      <c r="R119" t="s">
        <v>43</v>
      </c>
      <c r="S119">
        <v>560001</v>
      </c>
      <c r="T119" t="s">
        <v>25</v>
      </c>
      <c r="U119" t="s">
        <v>26</v>
      </c>
    </row>
    <row r="120" spans="1:21" x14ac:dyDescent="0.3">
      <c r="A120">
        <v>119</v>
      </c>
      <c r="B120" t="s">
        <v>498</v>
      </c>
      <c r="C120" t="s">
        <v>499</v>
      </c>
      <c r="D120" t="s">
        <v>15</v>
      </c>
      <c r="E120">
        <v>47</v>
      </c>
      <c r="F120" t="str">
        <f t="shared" si="2"/>
        <v>Adult</v>
      </c>
      <c r="G120" t="s">
        <v>500</v>
      </c>
      <c r="H120" t="str">
        <f t="shared" si="3"/>
        <v>May</v>
      </c>
      <c r="I120" t="s">
        <v>60</v>
      </c>
      <c r="J120" t="s">
        <v>31</v>
      </c>
      <c r="K120" t="s">
        <v>501</v>
      </c>
      <c r="L120" t="s">
        <v>107</v>
      </c>
      <c r="M120" t="s">
        <v>34</v>
      </c>
      <c r="N120">
        <v>5</v>
      </c>
      <c r="O120" t="s">
        <v>22</v>
      </c>
      <c r="P120">
        <v>1677.23</v>
      </c>
      <c r="Q120" t="s">
        <v>35</v>
      </c>
      <c r="R120" t="s">
        <v>43</v>
      </c>
      <c r="S120">
        <v>560001</v>
      </c>
      <c r="T120" t="s">
        <v>25</v>
      </c>
      <c r="U120" t="s">
        <v>26</v>
      </c>
    </row>
    <row r="121" spans="1:21" x14ac:dyDescent="0.3">
      <c r="A121">
        <v>120</v>
      </c>
      <c r="B121" t="s">
        <v>502</v>
      </c>
      <c r="C121" t="s">
        <v>503</v>
      </c>
      <c r="D121" t="s">
        <v>15</v>
      </c>
      <c r="E121">
        <v>31</v>
      </c>
      <c r="F121" t="str">
        <f t="shared" si="2"/>
        <v>Adult</v>
      </c>
      <c r="G121" t="s">
        <v>504</v>
      </c>
      <c r="H121" t="str">
        <f t="shared" si="3"/>
        <v>Jun</v>
      </c>
      <c r="I121" t="s">
        <v>60</v>
      </c>
      <c r="J121" t="s">
        <v>31</v>
      </c>
      <c r="K121" t="s">
        <v>505</v>
      </c>
      <c r="L121" t="s">
        <v>56</v>
      </c>
      <c r="M121" t="s">
        <v>85</v>
      </c>
      <c r="N121">
        <v>1</v>
      </c>
      <c r="O121" t="s">
        <v>22</v>
      </c>
      <c r="P121">
        <v>3552.46</v>
      </c>
      <c r="Q121" t="s">
        <v>23</v>
      </c>
      <c r="R121" t="s">
        <v>43</v>
      </c>
      <c r="S121">
        <v>400001</v>
      </c>
      <c r="T121" t="s">
        <v>25</v>
      </c>
      <c r="U121" t="s">
        <v>26</v>
      </c>
    </row>
    <row r="122" spans="1:21" x14ac:dyDescent="0.3">
      <c r="A122">
        <v>121</v>
      </c>
      <c r="B122" t="s">
        <v>506</v>
      </c>
      <c r="C122" t="s">
        <v>507</v>
      </c>
      <c r="D122" t="s">
        <v>29</v>
      </c>
      <c r="E122">
        <v>55</v>
      </c>
      <c r="F122" t="str">
        <f t="shared" si="2"/>
        <v>Senior</v>
      </c>
      <c r="G122" t="s">
        <v>508</v>
      </c>
      <c r="H122" t="str">
        <f t="shared" si="3"/>
        <v>May</v>
      </c>
      <c r="I122" t="s">
        <v>60</v>
      </c>
      <c r="J122" t="s">
        <v>31</v>
      </c>
      <c r="K122" t="s">
        <v>509</v>
      </c>
      <c r="L122" t="s">
        <v>62</v>
      </c>
      <c r="M122" t="s">
        <v>34</v>
      </c>
      <c r="N122">
        <v>3</v>
      </c>
      <c r="O122" t="s">
        <v>22</v>
      </c>
      <c r="P122">
        <v>1040.53</v>
      </c>
      <c r="Q122" t="s">
        <v>74</v>
      </c>
      <c r="R122" t="s">
        <v>43</v>
      </c>
      <c r="S122">
        <v>226001</v>
      </c>
      <c r="T122" t="s">
        <v>25</v>
      </c>
      <c r="U122" t="s">
        <v>44</v>
      </c>
    </row>
    <row r="123" spans="1:21" x14ac:dyDescent="0.3">
      <c r="A123">
        <v>122</v>
      </c>
      <c r="B123" t="s">
        <v>510</v>
      </c>
      <c r="C123" t="s">
        <v>511</v>
      </c>
      <c r="D123" t="s">
        <v>29</v>
      </c>
      <c r="E123">
        <v>51</v>
      </c>
      <c r="F123" t="str">
        <f t="shared" si="2"/>
        <v>Senior</v>
      </c>
      <c r="G123" t="s">
        <v>512</v>
      </c>
      <c r="H123" t="str">
        <f t="shared" si="3"/>
        <v>Oct</v>
      </c>
      <c r="I123" t="s">
        <v>60</v>
      </c>
      <c r="J123" t="s">
        <v>31</v>
      </c>
      <c r="K123" t="s">
        <v>513</v>
      </c>
      <c r="L123" t="s">
        <v>20</v>
      </c>
      <c r="M123" t="s">
        <v>85</v>
      </c>
      <c r="N123">
        <v>5</v>
      </c>
      <c r="O123" t="s">
        <v>22</v>
      </c>
      <c r="P123">
        <v>1375.52</v>
      </c>
      <c r="Q123" t="s">
        <v>51</v>
      </c>
      <c r="R123" t="s">
        <v>51</v>
      </c>
      <c r="S123">
        <v>110001</v>
      </c>
      <c r="T123" t="s">
        <v>25</v>
      </c>
      <c r="U123" t="s">
        <v>26</v>
      </c>
    </row>
    <row r="124" spans="1:21" x14ac:dyDescent="0.3">
      <c r="A124">
        <v>123</v>
      </c>
      <c r="B124" t="s">
        <v>514</v>
      </c>
      <c r="C124" t="s">
        <v>515</v>
      </c>
      <c r="D124" t="s">
        <v>15</v>
      </c>
      <c r="E124">
        <v>49</v>
      </c>
      <c r="F124" t="str">
        <f t="shared" si="2"/>
        <v>Adult</v>
      </c>
      <c r="G124" t="s">
        <v>516</v>
      </c>
      <c r="H124" t="str">
        <f t="shared" si="3"/>
        <v>Nov</v>
      </c>
      <c r="I124" t="s">
        <v>60</v>
      </c>
      <c r="J124" t="s">
        <v>31</v>
      </c>
      <c r="K124" t="s">
        <v>517</v>
      </c>
      <c r="L124" t="s">
        <v>62</v>
      </c>
      <c r="M124" t="s">
        <v>85</v>
      </c>
      <c r="N124">
        <v>5</v>
      </c>
      <c r="O124" t="s">
        <v>22</v>
      </c>
      <c r="P124">
        <v>2294.5700000000002</v>
      </c>
      <c r="Q124" t="s">
        <v>51</v>
      </c>
      <c r="R124" t="s">
        <v>51</v>
      </c>
      <c r="S124">
        <v>110001</v>
      </c>
      <c r="T124" t="s">
        <v>25</v>
      </c>
      <c r="U124" t="s">
        <v>44</v>
      </c>
    </row>
    <row r="125" spans="1:21" x14ac:dyDescent="0.3">
      <c r="A125">
        <v>124</v>
      </c>
      <c r="B125" t="s">
        <v>518</v>
      </c>
      <c r="C125" t="s">
        <v>519</v>
      </c>
      <c r="D125" t="s">
        <v>15</v>
      </c>
      <c r="E125">
        <v>53</v>
      </c>
      <c r="F125" t="str">
        <f t="shared" si="2"/>
        <v>Senior</v>
      </c>
      <c r="G125" t="s">
        <v>520</v>
      </c>
      <c r="H125" t="str">
        <f t="shared" si="3"/>
        <v>Sep</v>
      </c>
      <c r="I125" t="s">
        <v>60</v>
      </c>
      <c r="J125" t="s">
        <v>31</v>
      </c>
      <c r="K125" t="s">
        <v>521</v>
      </c>
      <c r="L125" t="s">
        <v>56</v>
      </c>
      <c r="M125" t="s">
        <v>21</v>
      </c>
      <c r="N125">
        <v>3</v>
      </c>
      <c r="O125" t="s">
        <v>22</v>
      </c>
      <c r="P125">
        <v>1915.9</v>
      </c>
      <c r="Q125" t="s">
        <v>35</v>
      </c>
      <c r="R125" t="s">
        <v>51</v>
      </c>
      <c r="S125">
        <v>560001</v>
      </c>
      <c r="T125" t="s">
        <v>25</v>
      </c>
      <c r="U125" t="s">
        <v>44</v>
      </c>
    </row>
    <row r="126" spans="1:21" x14ac:dyDescent="0.3">
      <c r="A126">
        <v>125</v>
      </c>
      <c r="B126" t="s">
        <v>522</v>
      </c>
      <c r="C126" t="s">
        <v>523</v>
      </c>
      <c r="D126" t="s">
        <v>29</v>
      </c>
      <c r="E126">
        <v>55</v>
      </c>
      <c r="F126" t="str">
        <f t="shared" si="2"/>
        <v>Senior</v>
      </c>
      <c r="G126" t="s">
        <v>524</v>
      </c>
      <c r="H126" t="str">
        <f t="shared" si="3"/>
        <v>Mar</v>
      </c>
      <c r="I126" t="s">
        <v>60</v>
      </c>
      <c r="J126" t="s">
        <v>31</v>
      </c>
      <c r="K126" t="s">
        <v>525</v>
      </c>
      <c r="L126" t="s">
        <v>107</v>
      </c>
      <c r="M126" t="s">
        <v>85</v>
      </c>
      <c r="N126">
        <v>2</v>
      </c>
      <c r="O126" t="s">
        <v>22</v>
      </c>
      <c r="P126">
        <v>4422.1000000000004</v>
      </c>
      <c r="Q126" t="s">
        <v>74</v>
      </c>
      <c r="R126" t="s">
        <v>51</v>
      </c>
      <c r="S126">
        <v>226001</v>
      </c>
      <c r="T126" t="s">
        <v>25</v>
      </c>
      <c r="U126" t="s">
        <v>26</v>
      </c>
    </row>
    <row r="127" spans="1:21" x14ac:dyDescent="0.3">
      <c r="A127">
        <v>126</v>
      </c>
      <c r="B127" t="s">
        <v>526</v>
      </c>
      <c r="C127" t="s">
        <v>527</v>
      </c>
      <c r="D127" t="s">
        <v>29</v>
      </c>
      <c r="E127">
        <v>43</v>
      </c>
      <c r="F127" t="str">
        <f t="shared" si="2"/>
        <v>Adult</v>
      </c>
      <c r="G127" t="s">
        <v>528</v>
      </c>
      <c r="H127" t="str">
        <f t="shared" si="3"/>
        <v>Feb</v>
      </c>
      <c r="I127" t="s">
        <v>60</v>
      </c>
      <c r="J127" t="s">
        <v>31</v>
      </c>
      <c r="K127" t="s">
        <v>529</v>
      </c>
      <c r="L127" t="s">
        <v>62</v>
      </c>
      <c r="M127" t="s">
        <v>50</v>
      </c>
      <c r="N127">
        <v>1</v>
      </c>
      <c r="O127" t="s">
        <v>22</v>
      </c>
      <c r="P127">
        <v>3651.43</v>
      </c>
      <c r="Q127" t="s">
        <v>74</v>
      </c>
      <c r="R127" t="s">
        <v>51</v>
      </c>
      <c r="S127">
        <v>226001</v>
      </c>
      <c r="T127" t="s">
        <v>25</v>
      </c>
      <c r="U127" t="s">
        <v>44</v>
      </c>
    </row>
    <row r="128" spans="1:21" x14ac:dyDescent="0.3">
      <c r="A128">
        <v>127</v>
      </c>
      <c r="B128" t="s">
        <v>530</v>
      </c>
      <c r="C128" t="s">
        <v>531</v>
      </c>
      <c r="D128" t="s">
        <v>29</v>
      </c>
      <c r="E128">
        <v>40</v>
      </c>
      <c r="F128" t="str">
        <f t="shared" si="2"/>
        <v>Adult</v>
      </c>
      <c r="G128" t="s">
        <v>532</v>
      </c>
      <c r="H128" t="str">
        <f t="shared" si="3"/>
        <v>Aug</v>
      </c>
      <c r="I128" t="s">
        <v>60</v>
      </c>
      <c r="J128" t="s">
        <v>31</v>
      </c>
      <c r="K128" t="s">
        <v>533</v>
      </c>
      <c r="L128" t="s">
        <v>20</v>
      </c>
      <c r="M128" t="s">
        <v>85</v>
      </c>
      <c r="N128">
        <v>5</v>
      </c>
      <c r="O128" t="s">
        <v>22</v>
      </c>
      <c r="P128">
        <v>4622.6000000000004</v>
      </c>
      <c r="Q128" t="s">
        <v>74</v>
      </c>
      <c r="R128" t="s">
        <v>51</v>
      </c>
      <c r="S128">
        <v>226001</v>
      </c>
      <c r="T128" t="s">
        <v>25</v>
      </c>
      <c r="U128" t="s">
        <v>44</v>
      </c>
    </row>
    <row r="129" spans="1:21" x14ac:dyDescent="0.3">
      <c r="A129">
        <v>128</v>
      </c>
      <c r="B129" t="s">
        <v>534</v>
      </c>
      <c r="C129" t="s">
        <v>535</v>
      </c>
      <c r="D129" t="s">
        <v>29</v>
      </c>
      <c r="E129">
        <v>23</v>
      </c>
      <c r="F129" t="str">
        <f t="shared" si="2"/>
        <v>Teenager</v>
      </c>
      <c r="G129" t="s">
        <v>92</v>
      </c>
      <c r="H129" t="str">
        <f t="shared" si="3"/>
        <v>Dec</v>
      </c>
      <c r="I129" t="s">
        <v>60</v>
      </c>
      <c r="J129" t="s">
        <v>31</v>
      </c>
      <c r="K129" t="s">
        <v>536</v>
      </c>
      <c r="L129" t="s">
        <v>73</v>
      </c>
      <c r="M129" t="s">
        <v>34</v>
      </c>
      <c r="N129">
        <v>2</v>
      </c>
      <c r="O129" t="s">
        <v>22</v>
      </c>
      <c r="P129">
        <v>1240.94</v>
      </c>
      <c r="Q129" t="s">
        <v>74</v>
      </c>
      <c r="R129" t="s">
        <v>51</v>
      </c>
      <c r="S129">
        <v>226001</v>
      </c>
      <c r="T129" t="s">
        <v>25</v>
      </c>
      <c r="U129" t="s">
        <v>44</v>
      </c>
    </row>
    <row r="130" spans="1:21" x14ac:dyDescent="0.3">
      <c r="A130">
        <v>129</v>
      </c>
      <c r="B130" t="s">
        <v>537</v>
      </c>
      <c r="C130" t="s">
        <v>538</v>
      </c>
      <c r="D130" t="s">
        <v>29</v>
      </c>
      <c r="E130">
        <v>44</v>
      </c>
      <c r="F130" t="str">
        <f t="shared" si="2"/>
        <v>Adult</v>
      </c>
      <c r="G130" t="s">
        <v>539</v>
      </c>
      <c r="H130" t="str">
        <f t="shared" si="3"/>
        <v>May</v>
      </c>
      <c r="I130" t="s">
        <v>60</v>
      </c>
      <c r="J130" t="s">
        <v>31</v>
      </c>
      <c r="K130" t="s">
        <v>540</v>
      </c>
      <c r="L130" t="s">
        <v>20</v>
      </c>
      <c r="M130" t="s">
        <v>50</v>
      </c>
      <c r="N130">
        <v>5</v>
      </c>
      <c r="O130" t="s">
        <v>22</v>
      </c>
      <c r="P130">
        <v>3818.29</v>
      </c>
      <c r="Q130" t="s">
        <v>74</v>
      </c>
      <c r="R130" t="s">
        <v>51</v>
      </c>
      <c r="S130">
        <v>226001</v>
      </c>
      <c r="T130" t="s">
        <v>25</v>
      </c>
      <c r="U130" t="s">
        <v>44</v>
      </c>
    </row>
    <row r="131" spans="1:21" x14ac:dyDescent="0.3">
      <c r="A131">
        <v>130</v>
      </c>
      <c r="B131" t="s">
        <v>541</v>
      </c>
      <c r="C131" t="s">
        <v>542</v>
      </c>
      <c r="D131" t="s">
        <v>15</v>
      </c>
      <c r="E131">
        <v>54</v>
      </c>
      <c r="F131" t="str">
        <f t="shared" ref="F131:F194" si="4">IF(E131&gt;=50,"Senior", IF(E131&gt;=30, "Adult","Teenager"))</f>
        <v>Senior</v>
      </c>
      <c r="G131" t="s">
        <v>230</v>
      </c>
      <c r="H131" t="str">
        <f t="shared" ref="H131:H194" si="5">TEXT(G131,"MMM")</f>
        <v>Jan</v>
      </c>
      <c r="I131" t="s">
        <v>60</v>
      </c>
      <c r="J131" t="s">
        <v>31</v>
      </c>
      <c r="K131" t="s">
        <v>543</v>
      </c>
      <c r="L131" t="s">
        <v>33</v>
      </c>
      <c r="M131" t="s">
        <v>34</v>
      </c>
      <c r="N131">
        <v>5</v>
      </c>
      <c r="O131" t="s">
        <v>22</v>
      </c>
      <c r="P131">
        <v>3153</v>
      </c>
      <c r="Q131" t="s">
        <v>23</v>
      </c>
      <c r="R131" t="s">
        <v>51</v>
      </c>
      <c r="S131">
        <v>400001</v>
      </c>
      <c r="T131" t="s">
        <v>25</v>
      </c>
      <c r="U131" t="s">
        <v>44</v>
      </c>
    </row>
    <row r="132" spans="1:21" x14ac:dyDescent="0.3">
      <c r="A132">
        <v>131</v>
      </c>
      <c r="B132" t="s">
        <v>544</v>
      </c>
      <c r="C132" t="s">
        <v>545</v>
      </c>
      <c r="D132" t="s">
        <v>15</v>
      </c>
      <c r="E132">
        <v>29</v>
      </c>
      <c r="F132" t="str">
        <f t="shared" si="4"/>
        <v>Teenager</v>
      </c>
      <c r="G132" t="s">
        <v>546</v>
      </c>
      <c r="H132" t="str">
        <f t="shared" si="5"/>
        <v>Sep</v>
      </c>
      <c r="I132" t="s">
        <v>60</v>
      </c>
      <c r="J132" t="s">
        <v>31</v>
      </c>
      <c r="K132" t="s">
        <v>547</v>
      </c>
      <c r="L132" t="s">
        <v>62</v>
      </c>
      <c r="M132" t="s">
        <v>21</v>
      </c>
      <c r="N132">
        <v>5</v>
      </c>
      <c r="O132" t="s">
        <v>22</v>
      </c>
      <c r="P132">
        <v>1708.95</v>
      </c>
      <c r="Q132" t="s">
        <v>23</v>
      </c>
      <c r="R132" t="s">
        <v>51</v>
      </c>
      <c r="S132">
        <v>400001</v>
      </c>
      <c r="T132" t="s">
        <v>25</v>
      </c>
      <c r="U132" t="s">
        <v>26</v>
      </c>
    </row>
    <row r="133" spans="1:21" x14ac:dyDescent="0.3">
      <c r="A133">
        <v>132</v>
      </c>
      <c r="B133" t="s">
        <v>548</v>
      </c>
      <c r="C133" t="s">
        <v>549</v>
      </c>
      <c r="D133" t="s">
        <v>15</v>
      </c>
      <c r="E133">
        <v>39</v>
      </c>
      <c r="F133" t="str">
        <f t="shared" si="4"/>
        <v>Adult</v>
      </c>
      <c r="G133" t="s">
        <v>143</v>
      </c>
      <c r="H133" t="str">
        <f t="shared" si="5"/>
        <v>Dec</v>
      </c>
      <c r="I133" t="s">
        <v>60</v>
      </c>
      <c r="J133" t="s">
        <v>31</v>
      </c>
      <c r="K133" t="s">
        <v>550</v>
      </c>
      <c r="L133" t="s">
        <v>62</v>
      </c>
      <c r="M133" t="s">
        <v>34</v>
      </c>
      <c r="N133">
        <v>3</v>
      </c>
      <c r="O133" t="s">
        <v>22</v>
      </c>
      <c r="P133">
        <v>4668.1400000000003</v>
      </c>
      <c r="Q133" t="s">
        <v>51</v>
      </c>
      <c r="R133" t="s">
        <v>51</v>
      </c>
      <c r="S133">
        <v>110001</v>
      </c>
      <c r="T133" t="s">
        <v>25</v>
      </c>
      <c r="U133" t="s">
        <v>44</v>
      </c>
    </row>
    <row r="134" spans="1:21" x14ac:dyDescent="0.3">
      <c r="A134">
        <v>133</v>
      </c>
      <c r="B134" t="s">
        <v>551</v>
      </c>
      <c r="C134" t="s">
        <v>552</v>
      </c>
      <c r="D134" t="s">
        <v>29</v>
      </c>
      <c r="E134">
        <v>35</v>
      </c>
      <c r="F134" t="str">
        <f t="shared" si="4"/>
        <v>Adult</v>
      </c>
      <c r="G134" t="s">
        <v>553</v>
      </c>
      <c r="H134" t="str">
        <f t="shared" si="5"/>
        <v>Nov</v>
      </c>
      <c r="I134" t="s">
        <v>60</v>
      </c>
      <c r="J134" t="s">
        <v>40</v>
      </c>
      <c r="K134" t="s">
        <v>554</v>
      </c>
      <c r="L134" t="s">
        <v>56</v>
      </c>
      <c r="M134" t="s">
        <v>34</v>
      </c>
      <c r="N134">
        <v>2</v>
      </c>
      <c r="O134" t="s">
        <v>22</v>
      </c>
      <c r="P134">
        <v>4226.07</v>
      </c>
      <c r="Q134" t="s">
        <v>74</v>
      </c>
      <c r="R134" t="s">
        <v>51</v>
      </c>
      <c r="S134">
        <v>226001</v>
      </c>
      <c r="T134" t="s">
        <v>25</v>
      </c>
      <c r="U134" t="s">
        <v>44</v>
      </c>
    </row>
    <row r="135" spans="1:21" x14ac:dyDescent="0.3">
      <c r="A135">
        <v>134</v>
      </c>
      <c r="B135" t="s">
        <v>555</v>
      </c>
      <c r="C135" t="s">
        <v>556</v>
      </c>
      <c r="D135" t="s">
        <v>15</v>
      </c>
      <c r="E135">
        <v>45</v>
      </c>
      <c r="F135" t="str">
        <f t="shared" si="4"/>
        <v>Adult</v>
      </c>
      <c r="G135" t="s">
        <v>557</v>
      </c>
      <c r="H135" t="str">
        <f t="shared" si="5"/>
        <v>Oct</v>
      </c>
      <c r="I135" t="s">
        <v>60</v>
      </c>
      <c r="J135" t="s">
        <v>101</v>
      </c>
      <c r="K135" t="s">
        <v>558</v>
      </c>
      <c r="L135" t="s">
        <v>20</v>
      </c>
      <c r="M135" t="s">
        <v>85</v>
      </c>
      <c r="N135">
        <v>2</v>
      </c>
      <c r="O135" t="s">
        <v>22</v>
      </c>
      <c r="P135">
        <v>2329.89</v>
      </c>
      <c r="Q135" t="s">
        <v>42</v>
      </c>
      <c r="R135" t="s">
        <v>51</v>
      </c>
      <c r="S135">
        <v>302001</v>
      </c>
      <c r="T135" t="s">
        <v>25</v>
      </c>
      <c r="U135" t="s">
        <v>44</v>
      </c>
    </row>
    <row r="136" spans="1:21" x14ac:dyDescent="0.3">
      <c r="A136">
        <v>135</v>
      </c>
      <c r="B136" t="s">
        <v>559</v>
      </c>
      <c r="C136" t="s">
        <v>560</v>
      </c>
      <c r="D136" t="s">
        <v>15</v>
      </c>
      <c r="E136">
        <v>46</v>
      </c>
      <c r="F136" t="str">
        <f t="shared" si="4"/>
        <v>Adult</v>
      </c>
      <c r="G136" t="s">
        <v>404</v>
      </c>
      <c r="H136" t="str">
        <f t="shared" si="5"/>
        <v>Feb</v>
      </c>
      <c r="I136" t="s">
        <v>60</v>
      </c>
      <c r="J136" t="s">
        <v>71</v>
      </c>
      <c r="K136" t="s">
        <v>561</v>
      </c>
      <c r="L136" t="s">
        <v>33</v>
      </c>
      <c r="M136" t="s">
        <v>21</v>
      </c>
      <c r="N136">
        <v>1</v>
      </c>
      <c r="O136" t="s">
        <v>22</v>
      </c>
      <c r="P136">
        <v>3367.15</v>
      </c>
      <c r="Q136" t="s">
        <v>74</v>
      </c>
      <c r="R136" t="s">
        <v>51</v>
      </c>
      <c r="S136">
        <v>226001</v>
      </c>
      <c r="T136" t="s">
        <v>25</v>
      </c>
      <c r="U136" t="s">
        <v>44</v>
      </c>
    </row>
    <row r="137" spans="1:21" x14ac:dyDescent="0.3">
      <c r="A137">
        <v>136</v>
      </c>
      <c r="B137" t="s">
        <v>562</v>
      </c>
      <c r="C137" t="s">
        <v>563</v>
      </c>
      <c r="D137" t="s">
        <v>15</v>
      </c>
      <c r="E137">
        <v>30</v>
      </c>
      <c r="F137" t="str">
        <f t="shared" si="4"/>
        <v>Adult</v>
      </c>
      <c r="G137" t="s">
        <v>564</v>
      </c>
      <c r="H137" t="str">
        <f t="shared" si="5"/>
        <v>Apr</v>
      </c>
      <c r="I137" t="s">
        <v>60</v>
      </c>
      <c r="J137" t="s">
        <v>71</v>
      </c>
      <c r="K137" t="s">
        <v>565</v>
      </c>
      <c r="L137" t="s">
        <v>73</v>
      </c>
      <c r="M137" t="s">
        <v>50</v>
      </c>
      <c r="N137">
        <v>4</v>
      </c>
      <c r="O137" t="s">
        <v>22</v>
      </c>
      <c r="P137">
        <v>932.59</v>
      </c>
      <c r="Q137" t="s">
        <v>51</v>
      </c>
      <c r="R137" t="s">
        <v>51</v>
      </c>
      <c r="S137">
        <v>110001</v>
      </c>
      <c r="T137" t="s">
        <v>25</v>
      </c>
      <c r="U137" t="s">
        <v>26</v>
      </c>
    </row>
    <row r="138" spans="1:21" x14ac:dyDescent="0.3">
      <c r="A138">
        <v>137</v>
      </c>
      <c r="B138" t="s">
        <v>566</v>
      </c>
      <c r="C138" t="s">
        <v>567</v>
      </c>
      <c r="D138" t="s">
        <v>29</v>
      </c>
      <c r="E138">
        <v>25</v>
      </c>
      <c r="F138" t="str">
        <f t="shared" si="4"/>
        <v>Teenager</v>
      </c>
      <c r="G138" t="s">
        <v>568</v>
      </c>
      <c r="H138" t="str">
        <f t="shared" si="5"/>
        <v>Apr</v>
      </c>
      <c r="I138" t="s">
        <v>60</v>
      </c>
      <c r="J138" t="s">
        <v>40</v>
      </c>
      <c r="K138" t="s">
        <v>569</v>
      </c>
      <c r="L138" t="s">
        <v>20</v>
      </c>
      <c r="M138" t="s">
        <v>85</v>
      </c>
      <c r="N138">
        <v>1</v>
      </c>
      <c r="O138" t="s">
        <v>22</v>
      </c>
      <c r="P138">
        <v>3892.96</v>
      </c>
      <c r="Q138" t="s">
        <v>35</v>
      </c>
      <c r="R138" t="s">
        <v>51</v>
      </c>
      <c r="S138">
        <v>560001</v>
      </c>
      <c r="T138" t="s">
        <v>25</v>
      </c>
      <c r="U138" t="s">
        <v>26</v>
      </c>
    </row>
    <row r="139" spans="1:21" x14ac:dyDescent="0.3">
      <c r="A139">
        <v>138</v>
      </c>
      <c r="B139" t="s">
        <v>570</v>
      </c>
      <c r="C139" t="s">
        <v>571</v>
      </c>
      <c r="D139" t="s">
        <v>29</v>
      </c>
      <c r="E139">
        <v>45</v>
      </c>
      <c r="F139" t="str">
        <f t="shared" si="4"/>
        <v>Adult</v>
      </c>
      <c r="G139" t="s">
        <v>572</v>
      </c>
      <c r="H139" t="str">
        <f t="shared" si="5"/>
        <v>Jan</v>
      </c>
      <c r="I139" t="s">
        <v>60</v>
      </c>
      <c r="J139" t="s">
        <v>101</v>
      </c>
      <c r="K139" t="s">
        <v>573</v>
      </c>
      <c r="L139" t="s">
        <v>56</v>
      </c>
      <c r="M139" t="s">
        <v>85</v>
      </c>
      <c r="N139">
        <v>5</v>
      </c>
      <c r="O139" t="s">
        <v>22</v>
      </c>
      <c r="P139">
        <v>3715.37</v>
      </c>
      <c r="Q139" t="s">
        <v>74</v>
      </c>
      <c r="R139" t="s">
        <v>75</v>
      </c>
      <c r="S139">
        <v>226001</v>
      </c>
      <c r="T139" t="s">
        <v>25</v>
      </c>
      <c r="U139" t="s">
        <v>44</v>
      </c>
    </row>
    <row r="140" spans="1:21" x14ac:dyDescent="0.3">
      <c r="A140">
        <v>139</v>
      </c>
      <c r="B140" t="s">
        <v>574</v>
      </c>
      <c r="C140" t="s">
        <v>575</v>
      </c>
      <c r="D140" t="s">
        <v>15</v>
      </c>
      <c r="E140">
        <v>59</v>
      </c>
      <c r="F140" t="str">
        <f t="shared" si="4"/>
        <v>Senior</v>
      </c>
      <c r="G140" t="s">
        <v>576</v>
      </c>
      <c r="H140" t="str">
        <f t="shared" si="5"/>
        <v>Jan</v>
      </c>
      <c r="I140" t="s">
        <v>60</v>
      </c>
      <c r="J140" t="s">
        <v>71</v>
      </c>
      <c r="K140" t="s">
        <v>577</v>
      </c>
      <c r="L140" t="s">
        <v>62</v>
      </c>
      <c r="M140" t="s">
        <v>85</v>
      </c>
      <c r="N140">
        <v>2</v>
      </c>
      <c r="O140" t="s">
        <v>22</v>
      </c>
      <c r="P140">
        <v>4890.9799999999996</v>
      </c>
      <c r="Q140" t="s">
        <v>23</v>
      </c>
      <c r="R140" t="s">
        <v>24</v>
      </c>
      <c r="S140">
        <v>400001</v>
      </c>
      <c r="T140" t="s">
        <v>25</v>
      </c>
      <c r="U140" t="s">
        <v>26</v>
      </c>
    </row>
    <row r="141" spans="1:21" x14ac:dyDescent="0.3">
      <c r="A141">
        <v>140</v>
      </c>
      <c r="B141" t="s">
        <v>578</v>
      </c>
      <c r="C141" t="s">
        <v>579</v>
      </c>
      <c r="D141" t="s">
        <v>15</v>
      </c>
      <c r="E141">
        <v>34</v>
      </c>
      <c r="F141" t="str">
        <f t="shared" si="4"/>
        <v>Adult</v>
      </c>
      <c r="G141" t="s">
        <v>580</v>
      </c>
      <c r="H141" t="str">
        <f t="shared" si="5"/>
        <v>May</v>
      </c>
      <c r="I141" t="s">
        <v>60</v>
      </c>
      <c r="J141" t="s">
        <v>40</v>
      </c>
      <c r="K141" t="s">
        <v>581</v>
      </c>
      <c r="L141" t="s">
        <v>33</v>
      </c>
      <c r="M141" t="s">
        <v>85</v>
      </c>
      <c r="N141">
        <v>5</v>
      </c>
      <c r="O141" t="s">
        <v>22</v>
      </c>
      <c r="P141">
        <v>4454.3</v>
      </c>
      <c r="Q141" t="s">
        <v>74</v>
      </c>
      <c r="R141" t="s">
        <v>75</v>
      </c>
      <c r="S141">
        <v>226001</v>
      </c>
      <c r="T141" t="s">
        <v>25</v>
      </c>
      <c r="U141" t="s">
        <v>26</v>
      </c>
    </row>
    <row r="142" spans="1:21" x14ac:dyDescent="0.3">
      <c r="A142">
        <v>141</v>
      </c>
      <c r="B142" t="s">
        <v>582</v>
      </c>
      <c r="C142" t="s">
        <v>583</v>
      </c>
      <c r="D142" t="s">
        <v>15</v>
      </c>
      <c r="E142">
        <v>21</v>
      </c>
      <c r="F142" t="str">
        <f t="shared" si="4"/>
        <v>Teenager</v>
      </c>
      <c r="G142" t="s">
        <v>500</v>
      </c>
      <c r="H142" t="str">
        <f t="shared" si="5"/>
        <v>May</v>
      </c>
      <c r="I142" t="s">
        <v>70</v>
      </c>
      <c r="J142" t="s">
        <v>71</v>
      </c>
      <c r="K142" t="s">
        <v>584</v>
      </c>
      <c r="L142" t="s">
        <v>107</v>
      </c>
      <c r="M142" t="s">
        <v>50</v>
      </c>
      <c r="N142">
        <v>4</v>
      </c>
      <c r="O142" t="s">
        <v>22</v>
      </c>
      <c r="P142">
        <v>2661.68</v>
      </c>
      <c r="Q142" t="s">
        <v>74</v>
      </c>
      <c r="R142" t="s">
        <v>75</v>
      </c>
      <c r="S142">
        <v>226001</v>
      </c>
      <c r="T142" t="s">
        <v>25</v>
      </c>
      <c r="U142" t="s">
        <v>26</v>
      </c>
    </row>
    <row r="143" spans="1:21" x14ac:dyDescent="0.3">
      <c r="A143">
        <v>142</v>
      </c>
      <c r="B143" t="s">
        <v>585</v>
      </c>
      <c r="C143" t="s">
        <v>586</v>
      </c>
      <c r="D143" t="s">
        <v>15</v>
      </c>
      <c r="E143">
        <v>39</v>
      </c>
      <c r="F143" t="str">
        <f t="shared" si="4"/>
        <v>Adult</v>
      </c>
      <c r="G143" t="s">
        <v>587</v>
      </c>
      <c r="H143" t="str">
        <f t="shared" si="5"/>
        <v>Apr</v>
      </c>
      <c r="I143" t="s">
        <v>48</v>
      </c>
      <c r="J143" t="s">
        <v>18</v>
      </c>
      <c r="K143" t="s">
        <v>588</v>
      </c>
      <c r="L143" t="s">
        <v>73</v>
      </c>
      <c r="M143" t="s">
        <v>34</v>
      </c>
      <c r="N143">
        <v>3</v>
      </c>
      <c r="O143" t="s">
        <v>22</v>
      </c>
      <c r="P143">
        <v>1654.23</v>
      </c>
      <c r="Q143" t="s">
        <v>23</v>
      </c>
      <c r="R143" t="s">
        <v>24</v>
      </c>
      <c r="S143">
        <v>400001</v>
      </c>
      <c r="T143" t="s">
        <v>25</v>
      </c>
      <c r="U143" t="s">
        <v>26</v>
      </c>
    </row>
    <row r="144" spans="1:21" x14ac:dyDescent="0.3">
      <c r="A144">
        <v>143</v>
      </c>
      <c r="B144" t="s">
        <v>589</v>
      </c>
      <c r="C144" t="s">
        <v>590</v>
      </c>
      <c r="D144" t="s">
        <v>29</v>
      </c>
      <c r="E144">
        <v>45</v>
      </c>
      <c r="F144" t="str">
        <f t="shared" si="4"/>
        <v>Adult</v>
      </c>
      <c r="G144" t="s">
        <v>591</v>
      </c>
      <c r="H144" t="str">
        <f t="shared" si="5"/>
        <v>Oct</v>
      </c>
      <c r="I144" t="s">
        <v>70</v>
      </c>
      <c r="J144" t="s">
        <v>31</v>
      </c>
      <c r="K144" t="s">
        <v>592</v>
      </c>
      <c r="L144" t="s">
        <v>56</v>
      </c>
      <c r="M144" t="s">
        <v>21</v>
      </c>
      <c r="N144">
        <v>2</v>
      </c>
      <c r="O144" t="s">
        <v>22</v>
      </c>
      <c r="P144">
        <v>3820.92</v>
      </c>
      <c r="Q144" t="s">
        <v>51</v>
      </c>
      <c r="R144" t="s">
        <v>51</v>
      </c>
      <c r="S144">
        <v>110001</v>
      </c>
      <c r="T144" t="s">
        <v>25</v>
      </c>
      <c r="U144" t="s">
        <v>26</v>
      </c>
    </row>
    <row r="145" spans="1:21" x14ac:dyDescent="0.3">
      <c r="A145">
        <v>144</v>
      </c>
      <c r="B145" t="s">
        <v>593</v>
      </c>
      <c r="C145" t="s">
        <v>594</v>
      </c>
      <c r="D145" t="s">
        <v>15</v>
      </c>
      <c r="E145">
        <v>29</v>
      </c>
      <c r="F145" t="str">
        <f t="shared" si="4"/>
        <v>Teenager</v>
      </c>
      <c r="G145" t="s">
        <v>595</v>
      </c>
      <c r="H145" t="str">
        <f t="shared" si="5"/>
        <v>Feb</v>
      </c>
      <c r="I145" t="s">
        <v>17</v>
      </c>
      <c r="J145" t="s">
        <v>40</v>
      </c>
      <c r="K145" t="s">
        <v>596</v>
      </c>
      <c r="L145" t="s">
        <v>107</v>
      </c>
      <c r="M145" t="s">
        <v>85</v>
      </c>
      <c r="N145">
        <v>1</v>
      </c>
      <c r="O145" t="s">
        <v>22</v>
      </c>
      <c r="P145">
        <v>1692.99</v>
      </c>
      <c r="Q145" t="s">
        <v>51</v>
      </c>
      <c r="R145" t="s">
        <v>51</v>
      </c>
      <c r="S145">
        <v>110001</v>
      </c>
      <c r="T145" t="s">
        <v>25</v>
      </c>
      <c r="U145" t="s">
        <v>26</v>
      </c>
    </row>
    <row r="146" spans="1:21" x14ac:dyDescent="0.3">
      <c r="A146">
        <v>145</v>
      </c>
      <c r="B146" t="s">
        <v>597</v>
      </c>
      <c r="C146" t="s">
        <v>598</v>
      </c>
      <c r="D146" t="s">
        <v>29</v>
      </c>
      <c r="E146">
        <v>20</v>
      </c>
      <c r="F146" t="str">
        <f t="shared" si="4"/>
        <v>Teenager</v>
      </c>
      <c r="G146" t="s">
        <v>599</v>
      </c>
      <c r="H146" t="str">
        <f t="shared" si="5"/>
        <v>May</v>
      </c>
      <c r="I146" t="s">
        <v>60</v>
      </c>
      <c r="J146" t="s">
        <v>31</v>
      </c>
      <c r="K146" t="s">
        <v>600</v>
      </c>
      <c r="L146" t="s">
        <v>62</v>
      </c>
      <c r="M146" t="s">
        <v>34</v>
      </c>
      <c r="N146">
        <v>4</v>
      </c>
      <c r="O146" t="s">
        <v>22</v>
      </c>
      <c r="P146">
        <v>552.16</v>
      </c>
      <c r="Q146" t="s">
        <v>35</v>
      </c>
      <c r="R146" t="s">
        <v>36</v>
      </c>
      <c r="S146">
        <v>560001</v>
      </c>
      <c r="T146" t="s">
        <v>25</v>
      </c>
      <c r="U146" t="s">
        <v>44</v>
      </c>
    </row>
    <row r="147" spans="1:21" x14ac:dyDescent="0.3">
      <c r="A147">
        <v>146</v>
      </c>
      <c r="B147" t="s">
        <v>601</v>
      </c>
      <c r="C147" t="s">
        <v>602</v>
      </c>
      <c r="D147" t="s">
        <v>29</v>
      </c>
      <c r="E147">
        <v>30</v>
      </c>
      <c r="F147" t="str">
        <f t="shared" si="4"/>
        <v>Adult</v>
      </c>
      <c r="G147" t="s">
        <v>603</v>
      </c>
      <c r="H147" t="str">
        <f t="shared" si="5"/>
        <v>Jun</v>
      </c>
      <c r="I147" t="s">
        <v>17</v>
      </c>
      <c r="J147" t="s">
        <v>71</v>
      </c>
      <c r="K147" t="s">
        <v>604</v>
      </c>
      <c r="L147" t="s">
        <v>20</v>
      </c>
      <c r="M147" t="s">
        <v>85</v>
      </c>
      <c r="N147">
        <v>2</v>
      </c>
      <c r="O147" t="s">
        <v>22</v>
      </c>
      <c r="P147">
        <v>4702.0600000000004</v>
      </c>
      <c r="Q147" t="s">
        <v>51</v>
      </c>
      <c r="R147" t="s">
        <v>51</v>
      </c>
      <c r="S147">
        <v>110001</v>
      </c>
      <c r="T147" t="s">
        <v>25</v>
      </c>
      <c r="U147" t="s">
        <v>44</v>
      </c>
    </row>
    <row r="148" spans="1:21" x14ac:dyDescent="0.3">
      <c r="A148">
        <v>147</v>
      </c>
      <c r="B148" t="s">
        <v>605</v>
      </c>
      <c r="C148" t="s">
        <v>606</v>
      </c>
      <c r="D148" t="s">
        <v>15</v>
      </c>
      <c r="E148">
        <v>44</v>
      </c>
      <c r="F148" t="str">
        <f t="shared" si="4"/>
        <v>Adult</v>
      </c>
      <c r="G148" t="s">
        <v>607</v>
      </c>
      <c r="H148" t="str">
        <f t="shared" si="5"/>
        <v>Jan</v>
      </c>
      <c r="I148" t="s">
        <v>70</v>
      </c>
      <c r="J148" t="s">
        <v>31</v>
      </c>
      <c r="K148" t="s">
        <v>608</v>
      </c>
      <c r="L148" t="s">
        <v>73</v>
      </c>
      <c r="M148" t="s">
        <v>85</v>
      </c>
      <c r="N148">
        <v>4</v>
      </c>
      <c r="O148" t="s">
        <v>22</v>
      </c>
      <c r="P148">
        <v>3094.69</v>
      </c>
      <c r="Q148" t="s">
        <v>23</v>
      </c>
      <c r="R148" t="s">
        <v>24</v>
      </c>
      <c r="S148">
        <v>400001</v>
      </c>
      <c r="T148" t="s">
        <v>25</v>
      </c>
      <c r="U148" t="s">
        <v>44</v>
      </c>
    </row>
    <row r="149" spans="1:21" x14ac:dyDescent="0.3">
      <c r="A149">
        <v>148</v>
      </c>
      <c r="B149" t="s">
        <v>609</v>
      </c>
      <c r="C149" t="s">
        <v>610</v>
      </c>
      <c r="D149" t="s">
        <v>15</v>
      </c>
      <c r="E149">
        <v>50</v>
      </c>
      <c r="F149" t="str">
        <f t="shared" si="4"/>
        <v>Senior</v>
      </c>
      <c r="G149" t="s">
        <v>139</v>
      </c>
      <c r="H149" t="str">
        <f t="shared" si="5"/>
        <v>Feb</v>
      </c>
      <c r="I149" t="s">
        <v>17</v>
      </c>
      <c r="J149" t="s">
        <v>18</v>
      </c>
      <c r="K149" t="s">
        <v>611</v>
      </c>
      <c r="L149" t="s">
        <v>56</v>
      </c>
      <c r="M149" t="s">
        <v>50</v>
      </c>
      <c r="N149">
        <v>4</v>
      </c>
      <c r="O149" t="s">
        <v>22</v>
      </c>
      <c r="P149">
        <v>398.14</v>
      </c>
      <c r="Q149" t="s">
        <v>74</v>
      </c>
      <c r="R149" t="s">
        <v>75</v>
      </c>
      <c r="S149">
        <v>226001</v>
      </c>
      <c r="T149" t="s">
        <v>25</v>
      </c>
      <c r="U149" t="s">
        <v>44</v>
      </c>
    </row>
    <row r="150" spans="1:21" x14ac:dyDescent="0.3">
      <c r="A150">
        <v>149</v>
      </c>
      <c r="B150" t="s">
        <v>612</v>
      </c>
      <c r="C150" t="s">
        <v>613</v>
      </c>
      <c r="D150" t="s">
        <v>15</v>
      </c>
      <c r="E150">
        <v>27</v>
      </c>
      <c r="F150" t="str">
        <f t="shared" si="4"/>
        <v>Teenager</v>
      </c>
      <c r="G150" t="s">
        <v>191</v>
      </c>
      <c r="H150" t="str">
        <f t="shared" si="5"/>
        <v>Sep</v>
      </c>
      <c r="I150" t="s">
        <v>70</v>
      </c>
      <c r="J150" t="s">
        <v>79</v>
      </c>
      <c r="K150" t="s">
        <v>614</v>
      </c>
      <c r="L150" t="s">
        <v>33</v>
      </c>
      <c r="M150" t="s">
        <v>50</v>
      </c>
      <c r="N150">
        <v>1</v>
      </c>
      <c r="O150" t="s">
        <v>22</v>
      </c>
      <c r="P150">
        <v>1333.26</v>
      </c>
      <c r="Q150" t="s">
        <v>35</v>
      </c>
      <c r="R150" t="s">
        <v>36</v>
      </c>
      <c r="S150">
        <v>560001</v>
      </c>
      <c r="T150" t="s">
        <v>25</v>
      </c>
      <c r="U150" t="s">
        <v>26</v>
      </c>
    </row>
    <row r="151" spans="1:21" x14ac:dyDescent="0.3">
      <c r="A151">
        <v>150</v>
      </c>
      <c r="B151" t="s">
        <v>615</v>
      </c>
      <c r="C151" t="s">
        <v>616</v>
      </c>
      <c r="D151" t="s">
        <v>29</v>
      </c>
      <c r="E151">
        <v>24</v>
      </c>
      <c r="F151" t="str">
        <f t="shared" si="4"/>
        <v>Teenager</v>
      </c>
      <c r="G151" t="s">
        <v>617</v>
      </c>
      <c r="H151" t="str">
        <f t="shared" si="5"/>
        <v>Aug</v>
      </c>
      <c r="I151" t="s">
        <v>17</v>
      </c>
      <c r="J151" t="s">
        <v>31</v>
      </c>
      <c r="K151" t="s">
        <v>618</v>
      </c>
      <c r="L151" t="s">
        <v>20</v>
      </c>
      <c r="M151" t="s">
        <v>85</v>
      </c>
      <c r="N151">
        <v>5</v>
      </c>
      <c r="O151" t="s">
        <v>22</v>
      </c>
      <c r="P151">
        <v>1579.34</v>
      </c>
      <c r="Q151" t="s">
        <v>51</v>
      </c>
      <c r="R151" t="s">
        <v>51</v>
      </c>
      <c r="S151">
        <v>110001</v>
      </c>
      <c r="T151" t="s">
        <v>25</v>
      </c>
      <c r="U151" t="s">
        <v>44</v>
      </c>
    </row>
    <row r="152" spans="1:21" x14ac:dyDescent="0.3">
      <c r="A152">
        <v>151</v>
      </c>
      <c r="B152" t="s">
        <v>619</v>
      </c>
      <c r="C152" t="s">
        <v>620</v>
      </c>
      <c r="D152" t="s">
        <v>29</v>
      </c>
      <c r="E152">
        <v>44</v>
      </c>
      <c r="F152" t="str">
        <f t="shared" si="4"/>
        <v>Adult</v>
      </c>
      <c r="G152" t="s">
        <v>621</v>
      </c>
      <c r="H152" t="str">
        <f t="shared" si="5"/>
        <v>Dec</v>
      </c>
      <c r="I152" t="s">
        <v>48</v>
      </c>
      <c r="J152" t="s">
        <v>79</v>
      </c>
      <c r="K152" t="s">
        <v>622</v>
      </c>
      <c r="L152" t="s">
        <v>73</v>
      </c>
      <c r="M152" t="s">
        <v>50</v>
      </c>
      <c r="N152">
        <v>1</v>
      </c>
      <c r="O152" t="s">
        <v>22</v>
      </c>
      <c r="P152">
        <v>3150.82</v>
      </c>
      <c r="Q152" t="s">
        <v>51</v>
      </c>
      <c r="R152" t="s">
        <v>51</v>
      </c>
      <c r="S152">
        <v>110001</v>
      </c>
      <c r="T152" t="s">
        <v>25</v>
      </c>
      <c r="U152" t="s">
        <v>26</v>
      </c>
    </row>
    <row r="153" spans="1:21" x14ac:dyDescent="0.3">
      <c r="A153">
        <v>152</v>
      </c>
      <c r="B153" t="s">
        <v>623</v>
      </c>
      <c r="C153" t="s">
        <v>624</v>
      </c>
      <c r="D153" t="s">
        <v>29</v>
      </c>
      <c r="E153">
        <v>27</v>
      </c>
      <c r="F153" t="str">
        <f t="shared" si="4"/>
        <v>Teenager</v>
      </c>
      <c r="G153" t="s">
        <v>625</v>
      </c>
      <c r="H153" t="str">
        <f t="shared" si="5"/>
        <v>Apr</v>
      </c>
      <c r="I153" t="s">
        <v>17</v>
      </c>
      <c r="J153" t="s">
        <v>101</v>
      </c>
      <c r="K153" t="s">
        <v>626</v>
      </c>
      <c r="L153" t="s">
        <v>56</v>
      </c>
      <c r="M153" t="s">
        <v>34</v>
      </c>
      <c r="N153">
        <v>3</v>
      </c>
      <c r="O153" t="s">
        <v>22</v>
      </c>
      <c r="P153">
        <v>571.11</v>
      </c>
      <c r="Q153" t="s">
        <v>74</v>
      </c>
      <c r="R153" t="s">
        <v>75</v>
      </c>
      <c r="S153">
        <v>226001</v>
      </c>
      <c r="T153" t="s">
        <v>25</v>
      </c>
      <c r="U153" t="s">
        <v>26</v>
      </c>
    </row>
    <row r="154" spans="1:21" x14ac:dyDescent="0.3">
      <c r="A154">
        <v>153</v>
      </c>
      <c r="B154" t="s">
        <v>627</v>
      </c>
      <c r="C154" t="s">
        <v>628</v>
      </c>
      <c r="D154" t="s">
        <v>29</v>
      </c>
      <c r="E154">
        <v>20</v>
      </c>
      <c r="F154" t="str">
        <f t="shared" si="4"/>
        <v>Teenager</v>
      </c>
      <c r="G154" t="s">
        <v>629</v>
      </c>
      <c r="H154" t="str">
        <f t="shared" si="5"/>
        <v>Nov</v>
      </c>
      <c r="I154" t="s">
        <v>60</v>
      </c>
      <c r="J154" t="s">
        <v>101</v>
      </c>
      <c r="K154" t="s">
        <v>630</v>
      </c>
      <c r="L154" t="s">
        <v>20</v>
      </c>
      <c r="M154" t="s">
        <v>21</v>
      </c>
      <c r="N154">
        <v>5</v>
      </c>
      <c r="O154" t="s">
        <v>22</v>
      </c>
      <c r="P154">
        <v>2688.61</v>
      </c>
      <c r="Q154" t="s">
        <v>35</v>
      </c>
      <c r="R154" t="s">
        <v>36</v>
      </c>
      <c r="S154">
        <v>560001</v>
      </c>
      <c r="T154" t="s">
        <v>25</v>
      </c>
      <c r="U154" t="s">
        <v>26</v>
      </c>
    </row>
    <row r="155" spans="1:21" x14ac:dyDescent="0.3">
      <c r="A155">
        <v>154</v>
      </c>
      <c r="B155" t="s">
        <v>631</v>
      </c>
      <c r="C155" t="s">
        <v>632</v>
      </c>
      <c r="D155" t="s">
        <v>29</v>
      </c>
      <c r="E155">
        <v>30</v>
      </c>
      <c r="F155" t="str">
        <f t="shared" si="4"/>
        <v>Adult</v>
      </c>
      <c r="G155" t="s">
        <v>222</v>
      </c>
      <c r="H155" t="str">
        <f t="shared" si="5"/>
        <v>Aug</v>
      </c>
      <c r="I155" t="s">
        <v>60</v>
      </c>
      <c r="J155" t="s">
        <v>79</v>
      </c>
      <c r="K155" t="s">
        <v>633</v>
      </c>
      <c r="L155" t="s">
        <v>56</v>
      </c>
      <c r="M155" t="s">
        <v>21</v>
      </c>
      <c r="N155">
        <v>1</v>
      </c>
      <c r="O155" t="s">
        <v>22</v>
      </c>
      <c r="P155">
        <v>3872.11</v>
      </c>
      <c r="Q155" t="s">
        <v>42</v>
      </c>
      <c r="R155" t="s">
        <v>43</v>
      </c>
      <c r="S155">
        <v>302001</v>
      </c>
      <c r="T155" t="s">
        <v>25</v>
      </c>
      <c r="U155" t="s">
        <v>26</v>
      </c>
    </row>
    <row r="156" spans="1:21" x14ac:dyDescent="0.3">
      <c r="A156">
        <v>155</v>
      </c>
      <c r="B156" t="s">
        <v>634</v>
      </c>
      <c r="C156" t="s">
        <v>635</v>
      </c>
      <c r="D156" t="s">
        <v>15</v>
      </c>
      <c r="E156">
        <v>38</v>
      </c>
      <c r="F156" t="str">
        <f t="shared" si="4"/>
        <v>Adult</v>
      </c>
      <c r="G156" t="s">
        <v>16</v>
      </c>
      <c r="H156" t="str">
        <f t="shared" si="5"/>
        <v>Mar</v>
      </c>
      <c r="I156" t="s">
        <v>70</v>
      </c>
      <c r="J156" t="s">
        <v>18</v>
      </c>
      <c r="K156" t="s">
        <v>636</v>
      </c>
      <c r="L156" t="s">
        <v>107</v>
      </c>
      <c r="M156" t="s">
        <v>34</v>
      </c>
      <c r="N156">
        <v>2</v>
      </c>
      <c r="O156" t="s">
        <v>22</v>
      </c>
      <c r="P156">
        <v>2214.85</v>
      </c>
      <c r="Q156" t="s">
        <v>42</v>
      </c>
      <c r="R156" t="s">
        <v>43</v>
      </c>
      <c r="S156">
        <v>302001</v>
      </c>
      <c r="T156" t="s">
        <v>25</v>
      </c>
      <c r="U156" t="s">
        <v>44</v>
      </c>
    </row>
    <row r="157" spans="1:21" x14ac:dyDescent="0.3">
      <c r="A157">
        <v>156</v>
      </c>
      <c r="B157" t="s">
        <v>637</v>
      </c>
      <c r="C157" t="s">
        <v>638</v>
      </c>
      <c r="D157" t="s">
        <v>29</v>
      </c>
      <c r="E157">
        <v>58</v>
      </c>
      <c r="F157" t="str">
        <f t="shared" si="4"/>
        <v>Senior</v>
      </c>
      <c r="G157" t="s">
        <v>639</v>
      </c>
      <c r="H157" t="str">
        <f t="shared" si="5"/>
        <v>Jul</v>
      </c>
      <c r="I157" t="s">
        <v>17</v>
      </c>
      <c r="J157" t="s">
        <v>18</v>
      </c>
      <c r="K157" t="s">
        <v>640</v>
      </c>
      <c r="L157" t="s">
        <v>62</v>
      </c>
      <c r="M157" t="s">
        <v>85</v>
      </c>
      <c r="N157">
        <v>5</v>
      </c>
      <c r="O157" t="s">
        <v>22</v>
      </c>
      <c r="P157">
        <v>2654.87</v>
      </c>
      <c r="Q157" t="s">
        <v>51</v>
      </c>
      <c r="R157" t="s">
        <v>51</v>
      </c>
      <c r="S157">
        <v>110001</v>
      </c>
      <c r="T157" t="s">
        <v>25</v>
      </c>
      <c r="U157" t="s">
        <v>26</v>
      </c>
    </row>
    <row r="158" spans="1:21" x14ac:dyDescent="0.3">
      <c r="A158">
        <v>157</v>
      </c>
      <c r="B158" t="s">
        <v>641</v>
      </c>
      <c r="C158" t="s">
        <v>642</v>
      </c>
      <c r="D158" t="s">
        <v>29</v>
      </c>
      <c r="E158">
        <v>59</v>
      </c>
      <c r="F158" t="str">
        <f t="shared" si="4"/>
        <v>Senior</v>
      </c>
      <c r="G158" t="s">
        <v>643</v>
      </c>
      <c r="H158" t="str">
        <f t="shared" si="5"/>
        <v>Aug</v>
      </c>
      <c r="I158" t="s">
        <v>60</v>
      </c>
      <c r="J158" t="s">
        <v>40</v>
      </c>
      <c r="K158" t="s">
        <v>644</v>
      </c>
      <c r="L158" t="s">
        <v>33</v>
      </c>
      <c r="M158" t="s">
        <v>50</v>
      </c>
      <c r="N158">
        <v>1</v>
      </c>
      <c r="O158" t="s">
        <v>22</v>
      </c>
      <c r="P158">
        <v>1208.17</v>
      </c>
      <c r="Q158" t="s">
        <v>23</v>
      </c>
      <c r="R158" t="s">
        <v>24</v>
      </c>
      <c r="S158">
        <v>400001</v>
      </c>
      <c r="T158" t="s">
        <v>25</v>
      </c>
      <c r="U158" t="s">
        <v>44</v>
      </c>
    </row>
    <row r="159" spans="1:21" x14ac:dyDescent="0.3">
      <c r="A159">
        <v>158</v>
      </c>
      <c r="B159" t="s">
        <v>645</v>
      </c>
      <c r="C159" t="s">
        <v>646</v>
      </c>
      <c r="D159" t="s">
        <v>15</v>
      </c>
      <c r="E159">
        <v>30</v>
      </c>
      <c r="F159" t="str">
        <f t="shared" si="4"/>
        <v>Adult</v>
      </c>
      <c r="G159" t="s">
        <v>258</v>
      </c>
      <c r="H159" t="str">
        <f t="shared" si="5"/>
        <v>Mar</v>
      </c>
      <c r="I159" t="s">
        <v>48</v>
      </c>
      <c r="J159" t="s">
        <v>79</v>
      </c>
      <c r="K159" t="s">
        <v>647</v>
      </c>
      <c r="L159" t="s">
        <v>33</v>
      </c>
      <c r="M159" t="s">
        <v>34</v>
      </c>
      <c r="N159">
        <v>3</v>
      </c>
      <c r="O159" t="s">
        <v>22</v>
      </c>
      <c r="P159">
        <v>340.68</v>
      </c>
      <c r="Q159" t="s">
        <v>74</v>
      </c>
      <c r="R159" t="s">
        <v>75</v>
      </c>
      <c r="S159">
        <v>226001</v>
      </c>
      <c r="T159" t="s">
        <v>25</v>
      </c>
      <c r="U159" t="s">
        <v>44</v>
      </c>
    </row>
    <row r="160" spans="1:21" x14ac:dyDescent="0.3">
      <c r="A160">
        <v>159</v>
      </c>
      <c r="B160" t="s">
        <v>648</v>
      </c>
      <c r="C160" t="s">
        <v>649</v>
      </c>
      <c r="D160" t="s">
        <v>29</v>
      </c>
      <c r="E160">
        <v>25</v>
      </c>
      <c r="F160" t="str">
        <f t="shared" si="4"/>
        <v>Teenager</v>
      </c>
      <c r="G160" t="s">
        <v>643</v>
      </c>
      <c r="H160" t="str">
        <f t="shared" si="5"/>
        <v>Aug</v>
      </c>
      <c r="I160" t="s">
        <v>48</v>
      </c>
      <c r="J160" t="s">
        <v>101</v>
      </c>
      <c r="K160" t="s">
        <v>650</v>
      </c>
      <c r="L160" t="s">
        <v>56</v>
      </c>
      <c r="M160" t="s">
        <v>85</v>
      </c>
      <c r="N160">
        <v>5</v>
      </c>
      <c r="O160" t="s">
        <v>22</v>
      </c>
      <c r="P160">
        <v>3894.23</v>
      </c>
      <c r="Q160" t="s">
        <v>51</v>
      </c>
      <c r="R160" t="s">
        <v>51</v>
      </c>
      <c r="S160">
        <v>110001</v>
      </c>
      <c r="T160" t="s">
        <v>25</v>
      </c>
      <c r="U160" t="s">
        <v>44</v>
      </c>
    </row>
    <row r="161" spans="1:21" x14ac:dyDescent="0.3">
      <c r="A161">
        <v>160</v>
      </c>
      <c r="B161" t="s">
        <v>651</v>
      </c>
      <c r="C161" t="s">
        <v>652</v>
      </c>
      <c r="D161" t="s">
        <v>15</v>
      </c>
      <c r="E161">
        <v>30</v>
      </c>
      <c r="F161" t="str">
        <f t="shared" si="4"/>
        <v>Adult</v>
      </c>
      <c r="G161" t="s">
        <v>653</v>
      </c>
      <c r="H161" t="str">
        <f t="shared" si="5"/>
        <v>Nov</v>
      </c>
      <c r="I161" t="s">
        <v>17</v>
      </c>
      <c r="J161" t="s">
        <v>71</v>
      </c>
      <c r="K161" t="s">
        <v>654</v>
      </c>
      <c r="L161" t="s">
        <v>73</v>
      </c>
      <c r="M161" t="s">
        <v>50</v>
      </c>
      <c r="N161">
        <v>3</v>
      </c>
      <c r="O161" t="s">
        <v>22</v>
      </c>
      <c r="P161">
        <v>3058.08</v>
      </c>
      <c r="Q161" t="s">
        <v>42</v>
      </c>
      <c r="R161" t="s">
        <v>43</v>
      </c>
      <c r="S161">
        <v>302001</v>
      </c>
      <c r="T161" t="s">
        <v>25</v>
      </c>
      <c r="U161" t="s">
        <v>26</v>
      </c>
    </row>
    <row r="162" spans="1:21" x14ac:dyDescent="0.3">
      <c r="A162">
        <v>161</v>
      </c>
      <c r="B162" t="s">
        <v>655</v>
      </c>
      <c r="C162" t="s">
        <v>656</v>
      </c>
      <c r="D162" t="s">
        <v>15</v>
      </c>
      <c r="E162">
        <v>32</v>
      </c>
      <c r="F162" t="str">
        <f t="shared" si="4"/>
        <v>Adult</v>
      </c>
      <c r="G162" t="s">
        <v>328</v>
      </c>
      <c r="H162" t="str">
        <f t="shared" si="5"/>
        <v>Mar</v>
      </c>
      <c r="I162" t="s">
        <v>48</v>
      </c>
      <c r="J162" t="s">
        <v>101</v>
      </c>
      <c r="K162" t="s">
        <v>657</v>
      </c>
      <c r="L162" t="s">
        <v>56</v>
      </c>
      <c r="M162" t="s">
        <v>85</v>
      </c>
      <c r="N162">
        <v>2</v>
      </c>
      <c r="O162" t="s">
        <v>22</v>
      </c>
      <c r="P162">
        <v>1804.85</v>
      </c>
      <c r="Q162" t="s">
        <v>35</v>
      </c>
      <c r="R162" t="s">
        <v>36</v>
      </c>
      <c r="S162">
        <v>560001</v>
      </c>
      <c r="T162" t="s">
        <v>25</v>
      </c>
      <c r="U162" t="s">
        <v>26</v>
      </c>
    </row>
    <row r="163" spans="1:21" x14ac:dyDescent="0.3">
      <c r="A163">
        <v>162</v>
      </c>
      <c r="B163" t="s">
        <v>658</v>
      </c>
      <c r="C163" t="s">
        <v>659</v>
      </c>
      <c r="D163" t="s">
        <v>15</v>
      </c>
      <c r="E163">
        <v>18</v>
      </c>
      <c r="F163" t="str">
        <f t="shared" si="4"/>
        <v>Teenager</v>
      </c>
      <c r="G163" t="s">
        <v>266</v>
      </c>
      <c r="H163" t="str">
        <f t="shared" si="5"/>
        <v>May</v>
      </c>
      <c r="I163" t="s">
        <v>70</v>
      </c>
      <c r="J163" t="s">
        <v>71</v>
      </c>
      <c r="K163" t="s">
        <v>660</v>
      </c>
      <c r="L163" t="s">
        <v>33</v>
      </c>
      <c r="M163" t="s">
        <v>85</v>
      </c>
      <c r="N163">
        <v>1</v>
      </c>
      <c r="O163" t="s">
        <v>22</v>
      </c>
      <c r="P163">
        <v>4677.0600000000004</v>
      </c>
      <c r="Q163" t="s">
        <v>42</v>
      </c>
      <c r="R163" t="s">
        <v>43</v>
      </c>
      <c r="S163">
        <v>302001</v>
      </c>
      <c r="T163" t="s">
        <v>25</v>
      </c>
      <c r="U163" t="s">
        <v>26</v>
      </c>
    </row>
    <row r="164" spans="1:21" x14ac:dyDescent="0.3">
      <c r="A164">
        <v>163</v>
      </c>
      <c r="B164" t="s">
        <v>661</v>
      </c>
      <c r="C164" t="s">
        <v>662</v>
      </c>
      <c r="D164" t="s">
        <v>15</v>
      </c>
      <c r="E164">
        <v>57</v>
      </c>
      <c r="F164" t="str">
        <f t="shared" si="4"/>
        <v>Senior</v>
      </c>
      <c r="G164" t="s">
        <v>587</v>
      </c>
      <c r="H164" t="str">
        <f t="shared" si="5"/>
        <v>Apr</v>
      </c>
      <c r="I164" t="s">
        <v>60</v>
      </c>
      <c r="J164" t="s">
        <v>31</v>
      </c>
      <c r="K164" t="s">
        <v>663</v>
      </c>
      <c r="L164" t="s">
        <v>33</v>
      </c>
      <c r="M164" t="s">
        <v>50</v>
      </c>
      <c r="N164">
        <v>2</v>
      </c>
      <c r="O164" t="s">
        <v>22</v>
      </c>
      <c r="P164">
        <v>2810.82</v>
      </c>
      <c r="Q164" t="s">
        <v>74</v>
      </c>
      <c r="R164" t="s">
        <v>75</v>
      </c>
      <c r="S164">
        <v>226001</v>
      </c>
      <c r="T164" t="s">
        <v>25</v>
      </c>
      <c r="U164" t="s">
        <v>26</v>
      </c>
    </row>
    <row r="165" spans="1:21" x14ac:dyDescent="0.3">
      <c r="A165">
        <v>164</v>
      </c>
      <c r="B165" t="s">
        <v>664</v>
      </c>
      <c r="C165" t="s">
        <v>665</v>
      </c>
      <c r="D165" t="s">
        <v>15</v>
      </c>
      <c r="E165">
        <v>20</v>
      </c>
      <c r="F165" t="str">
        <f t="shared" si="4"/>
        <v>Teenager</v>
      </c>
      <c r="G165" t="s">
        <v>666</v>
      </c>
      <c r="H165" t="str">
        <f t="shared" si="5"/>
        <v>Aug</v>
      </c>
      <c r="I165" t="s">
        <v>70</v>
      </c>
      <c r="J165" t="s">
        <v>101</v>
      </c>
      <c r="K165" t="s">
        <v>667</v>
      </c>
      <c r="L165" t="s">
        <v>62</v>
      </c>
      <c r="M165" t="s">
        <v>21</v>
      </c>
      <c r="N165">
        <v>4</v>
      </c>
      <c r="O165" t="s">
        <v>22</v>
      </c>
      <c r="P165">
        <v>1830.78</v>
      </c>
      <c r="Q165" t="s">
        <v>42</v>
      </c>
      <c r="R165" t="s">
        <v>43</v>
      </c>
      <c r="S165">
        <v>302001</v>
      </c>
      <c r="T165" t="s">
        <v>25</v>
      </c>
      <c r="U165" t="s">
        <v>26</v>
      </c>
    </row>
    <row r="166" spans="1:21" x14ac:dyDescent="0.3">
      <c r="A166">
        <v>165</v>
      </c>
      <c r="B166" t="s">
        <v>668</v>
      </c>
      <c r="C166" t="s">
        <v>669</v>
      </c>
      <c r="D166" t="s">
        <v>29</v>
      </c>
      <c r="E166">
        <v>29</v>
      </c>
      <c r="F166" t="str">
        <f t="shared" si="4"/>
        <v>Teenager</v>
      </c>
      <c r="G166" t="s">
        <v>670</v>
      </c>
      <c r="H166" t="str">
        <f t="shared" si="5"/>
        <v>Mar</v>
      </c>
      <c r="I166" t="s">
        <v>60</v>
      </c>
      <c r="J166" t="s">
        <v>79</v>
      </c>
      <c r="K166" t="s">
        <v>671</v>
      </c>
      <c r="L166" t="s">
        <v>33</v>
      </c>
      <c r="M166" t="s">
        <v>34</v>
      </c>
      <c r="N166">
        <v>4</v>
      </c>
      <c r="O166" t="s">
        <v>22</v>
      </c>
      <c r="P166">
        <v>607.79999999999995</v>
      </c>
      <c r="Q166" t="s">
        <v>74</v>
      </c>
      <c r="R166" t="s">
        <v>75</v>
      </c>
      <c r="S166">
        <v>226001</v>
      </c>
      <c r="T166" t="s">
        <v>25</v>
      </c>
      <c r="U166" t="s">
        <v>44</v>
      </c>
    </row>
    <row r="167" spans="1:21" x14ac:dyDescent="0.3">
      <c r="A167">
        <v>166</v>
      </c>
      <c r="B167" t="s">
        <v>672</v>
      </c>
      <c r="C167" t="s">
        <v>673</v>
      </c>
      <c r="D167" t="s">
        <v>15</v>
      </c>
      <c r="E167">
        <v>56</v>
      </c>
      <c r="F167" t="str">
        <f t="shared" si="4"/>
        <v>Senior</v>
      </c>
      <c r="G167" t="s">
        <v>674</v>
      </c>
      <c r="H167" t="str">
        <f t="shared" si="5"/>
        <v>Jun</v>
      </c>
      <c r="I167" t="s">
        <v>48</v>
      </c>
      <c r="J167" t="s">
        <v>40</v>
      </c>
      <c r="K167" t="s">
        <v>675</v>
      </c>
      <c r="L167" t="s">
        <v>107</v>
      </c>
      <c r="M167" t="s">
        <v>85</v>
      </c>
      <c r="N167">
        <v>3</v>
      </c>
      <c r="O167" t="s">
        <v>22</v>
      </c>
      <c r="P167">
        <v>2000.67</v>
      </c>
      <c r="Q167" t="s">
        <v>42</v>
      </c>
      <c r="R167" t="s">
        <v>43</v>
      </c>
      <c r="S167">
        <v>302001</v>
      </c>
      <c r="T167" t="s">
        <v>25</v>
      </c>
      <c r="U167" t="s">
        <v>26</v>
      </c>
    </row>
    <row r="168" spans="1:21" x14ac:dyDescent="0.3">
      <c r="A168">
        <v>167</v>
      </c>
      <c r="B168" t="s">
        <v>676</v>
      </c>
      <c r="C168" t="s">
        <v>677</v>
      </c>
      <c r="D168" t="s">
        <v>29</v>
      </c>
      <c r="E168">
        <v>58</v>
      </c>
      <c r="F168" t="str">
        <f t="shared" si="4"/>
        <v>Senior</v>
      </c>
      <c r="G168" t="s">
        <v>674</v>
      </c>
      <c r="H168" t="str">
        <f t="shared" si="5"/>
        <v>Jun</v>
      </c>
      <c r="I168" t="s">
        <v>17</v>
      </c>
      <c r="J168" t="s">
        <v>79</v>
      </c>
      <c r="K168" t="s">
        <v>678</v>
      </c>
      <c r="L168" t="s">
        <v>107</v>
      </c>
      <c r="M168" t="s">
        <v>50</v>
      </c>
      <c r="N168">
        <v>3</v>
      </c>
      <c r="O168" t="s">
        <v>22</v>
      </c>
      <c r="P168">
        <v>1787.67</v>
      </c>
      <c r="Q168" t="s">
        <v>42</v>
      </c>
      <c r="R168" t="s">
        <v>43</v>
      </c>
      <c r="S168">
        <v>302001</v>
      </c>
      <c r="T168" t="s">
        <v>25</v>
      </c>
      <c r="U168" t="s">
        <v>44</v>
      </c>
    </row>
    <row r="169" spans="1:21" x14ac:dyDescent="0.3">
      <c r="A169">
        <v>168</v>
      </c>
      <c r="B169" t="s">
        <v>679</v>
      </c>
      <c r="C169" t="s">
        <v>680</v>
      </c>
      <c r="D169" t="s">
        <v>29</v>
      </c>
      <c r="E169">
        <v>18</v>
      </c>
      <c r="F169" t="str">
        <f t="shared" si="4"/>
        <v>Teenager</v>
      </c>
      <c r="G169" t="s">
        <v>404</v>
      </c>
      <c r="H169" t="str">
        <f t="shared" si="5"/>
        <v>Feb</v>
      </c>
      <c r="I169" t="s">
        <v>60</v>
      </c>
      <c r="J169" t="s">
        <v>31</v>
      </c>
      <c r="K169" t="s">
        <v>681</v>
      </c>
      <c r="L169" t="s">
        <v>33</v>
      </c>
      <c r="M169" t="s">
        <v>34</v>
      </c>
      <c r="N169">
        <v>1</v>
      </c>
      <c r="O169" t="s">
        <v>22</v>
      </c>
      <c r="P169">
        <v>2509.0300000000002</v>
      </c>
      <c r="Q169" t="s">
        <v>35</v>
      </c>
      <c r="R169" t="s">
        <v>36</v>
      </c>
      <c r="S169">
        <v>560001</v>
      </c>
      <c r="T169" t="s">
        <v>25</v>
      </c>
      <c r="U169" t="s">
        <v>44</v>
      </c>
    </row>
    <row r="170" spans="1:21" x14ac:dyDescent="0.3">
      <c r="A170">
        <v>169</v>
      </c>
      <c r="B170" t="s">
        <v>682</v>
      </c>
      <c r="C170" t="s">
        <v>683</v>
      </c>
      <c r="D170" t="s">
        <v>29</v>
      </c>
      <c r="E170">
        <v>41</v>
      </c>
      <c r="F170" t="str">
        <f t="shared" si="4"/>
        <v>Adult</v>
      </c>
      <c r="G170" t="s">
        <v>684</v>
      </c>
      <c r="H170" t="str">
        <f t="shared" si="5"/>
        <v>Oct</v>
      </c>
      <c r="I170" t="s">
        <v>70</v>
      </c>
      <c r="J170" t="s">
        <v>40</v>
      </c>
      <c r="K170" t="s">
        <v>685</v>
      </c>
      <c r="L170" t="s">
        <v>20</v>
      </c>
      <c r="M170" t="s">
        <v>34</v>
      </c>
      <c r="N170">
        <v>3</v>
      </c>
      <c r="O170" t="s">
        <v>22</v>
      </c>
      <c r="P170">
        <v>2406.4699999999998</v>
      </c>
      <c r="Q170" t="s">
        <v>23</v>
      </c>
      <c r="R170" t="s">
        <v>24</v>
      </c>
      <c r="S170">
        <v>400001</v>
      </c>
      <c r="T170" t="s">
        <v>25</v>
      </c>
      <c r="U170" t="s">
        <v>26</v>
      </c>
    </row>
    <row r="171" spans="1:21" x14ac:dyDescent="0.3">
      <c r="A171">
        <v>170</v>
      </c>
      <c r="B171" t="s">
        <v>686</v>
      </c>
      <c r="C171" t="s">
        <v>687</v>
      </c>
      <c r="D171" t="s">
        <v>15</v>
      </c>
      <c r="E171">
        <v>18</v>
      </c>
      <c r="F171" t="str">
        <f t="shared" si="4"/>
        <v>Teenager</v>
      </c>
      <c r="G171" t="s">
        <v>688</v>
      </c>
      <c r="H171" t="str">
        <f t="shared" si="5"/>
        <v>Sep</v>
      </c>
      <c r="I171" t="s">
        <v>48</v>
      </c>
      <c r="J171" t="s">
        <v>40</v>
      </c>
      <c r="K171" t="s">
        <v>689</v>
      </c>
      <c r="L171" t="s">
        <v>33</v>
      </c>
      <c r="M171" t="s">
        <v>34</v>
      </c>
      <c r="N171">
        <v>1</v>
      </c>
      <c r="O171" t="s">
        <v>22</v>
      </c>
      <c r="P171">
        <v>2381.87</v>
      </c>
      <c r="Q171" t="s">
        <v>42</v>
      </c>
      <c r="R171" t="s">
        <v>43</v>
      </c>
      <c r="S171">
        <v>302001</v>
      </c>
      <c r="T171" t="s">
        <v>25</v>
      </c>
      <c r="U171" t="s">
        <v>44</v>
      </c>
    </row>
    <row r="172" spans="1:21" x14ac:dyDescent="0.3">
      <c r="A172">
        <v>171</v>
      </c>
      <c r="B172" t="s">
        <v>690</v>
      </c>
      <c r="C172" t="s">
        <v>691</v>
      </c>
      <c r="D172" t="s">
        <v>29</v>
      </c>
      <c r="E172">
        <v>60</v>
      </c>
      <c r="F172" t="str">
        <f t="shared" si="4"/>
        <v>Senior</v>
      </c>
      <c r="G172" t="s">
        <v>692</v>
      </c>
      <c r="H172" t="str">
        <f t="shared" si="5"/>
        <v>Dec</v>
      </c>
      <c r="I172" t="s">
        <v>48</v>
      </c>
      <c r="J172" t="s">
        <v>71</v>
      </c>
      <c r="K172" t="s">
        <v>693</v>
      </c>
      <c r="L172" t="s">
        <v>73</v>
      </c>
      <c r="M172" t="s">
        <v>21</v>
      </c>
      <c r="N172">
        <v>1</v>
      </c>
      <c r="O172" t="s">
        <v>22</v>
      </c>
      <c r="P172">
        <v>2144.96</v>
      </c>
      <c r="Q172" t="s">
        <v>23</v>
      </c>
      <c r="R172" t="s">
        <v>24</v>
      </c>
      <c r="S172">
        <v>400001</v>
      </c>
      <c r="T172" t="s">
        <v>25</v>
      </c>
      <c r="U172" t="s">
        <v>26</v>
      </c>
    </row>
    <row r="173" spans="1:21" x14ac:dyDescent="0.3">
      <c r="A173">
        <v>172</v>
      </c>
      <c r="B173" t="s">
        <v>694</v>
      </c>
      <c r="C173" t="s">
        <v>695</v>
      </c>
      <c r="D173" t="s">
        <v>15</v>
      </c>
      <c r="E173">
        <v>44</v>
      </c>
      <c r="F173" t="str">
        <f t="shared" si="4"/>
        <v>Adult</v>
      </c>
      <c r="G173" t="s">
        <v>696</v>
      </c>
      <c r="H173" t="str">
        <f t="shared" si="5"/>
        <v>Feb</v>
      </c>
      <c r="I173" t="s">
        <v>70</v>
      </c>
      <c r="J173" t="s">
        <v>101</v>
      </c>
      <c r="K173" t="s">
        <v>697</v>
      </c>
      <c r="L173" t="s">
        <v>56</v>
      </c>
      <c r="M173" t="s">
        <v>85</v>
      </c>
      <c r="N173">
        <v>3</v>
      </c>
      <c r="O173" t="s">
        <v>22</v>
      </c>
      <c r="P173">
        <v>1571.12</v>
      </c>
      <c r="Q173" t="s">
        <v>35</v>
      </c>
      <c r="R173" t="s">
        <v>36</v>
      </c>
      <c r="S173">
        <v>560001</v>
      </c>
      <c r="T173" t="s">
        <v>25</v>
      </c>
      <c r="U173" t="s">
        <v>26</v>
      </c>
    </row>
    <row r="174" spans="1:21" x14ac:dyDescent="0.3">
      <c r="A174">
        <v>173</v>
      </c>
      <c r="B174" t="s">
        <v>698</v>
      </c>
      <c r="C174" t="s">
        <v>699</v>
      </c>
      <c r="D174" t="s">
        <v>29</v>
      </c>
      <c r="E174">
        <v>26</v>
      </c>
      <c r="F174" t="str">
        <f t="shared" si="4"/>
        <v>Teenager</v>
      </c>
      <c r="G174" t="s">
        <v>83</v>
      </c>
      <c r="H174" t="str">
        <f t="shared" si="5"/>
        <v>Nov</v>
      </c>
      <c r="I174" t="s">
        <v>48</v>
      </c>
      <c r="J174" t="s">
        <v>40</v>
      </c>
      <c r="K174" t="s">
        <v>700</v>
      </c>
      <c r="L174" t="s">
        <v>107</v>
      </c>
      <c r="M174" t="s">
        <v>85</v>
      </c>
      <c r="N174">
        <v>3</v>
      </c>
      <c r="O174" t="s">
        <v>22</v>
      </c>
      <c r="P174">
        <v>1191</v>
      </c>
      <c r="Q174" t="s">
        <v>51</v>
      </c>
      <c r="R174" t="s">
        <v>51</v>
      </c>
      <c r="S174">
        <v>110001</v>
      </c>
      <c r="T174" t="s">
        <v>25</v>
      </c>
      <c r="U174" t="s">
        <v>44</v>
      </c>
    </row>
    <row r="175" spans="1:21" x14ac:dyDescent="0.3">
      <c r="A175">
        <v>174</v>
      </c>
      <c r="B175" t="s">
        <v>701</v>
      </c>
      <c r="C175" t="s">
        <v>702</v>
      </c>
      <c r="D175" t="s">
        <v>29</v>
      </c>
      <c r="E175">
        <v>52</v>
      </c>
      <c r="F175" t="str">
        <f t="shared" si="4"/>
        <v>Senior</v>
      </c>
      <c r="G175" t="s">
        <v>703</v>
      </c>
      <c r="H175" t="str">
        <f t="shared" si="5"/>
        <v>Feb</v>
      </c>
      <c r="I175" t="s">
        <v>70</v>
      </c>
      <c r="J175" t="s">
        <v>31</v>
      </c>
      <c r="K175" t="s">
        <v>704</v>
      </c>
      <c r="L175" t="s">
        <v>20</v>
      </c>
      <c r="M175" t="s">
        <v>50</v>
      </c>
      <c r="N175">
        <v>4</v>
      </c>
      <c r="O175" t="s">
        <v>22</v>
      </c>
      <c r="P175">
        <v>381.59</v>
      </c>
      <c r="Q175" t="s">
        <v>23</v>
      </c>
      <c r="R175" t="s">
        <v>24</v>
      </c>
      <c r="S175">
        <v>400001</v>
      </c>
      <c r="T175" t="s">
        <v>25</v>
      </c>
      <c r="U175" t="s">
        <v>26</v>
      </c>
    </row>
    <row r="176" spans="1:21" x14ac:dyDescent="0.3">
      <c r="A176">
        <v>175</v>
      </c>
      <c r="B176" t="s">
        <v>705</v>
      </c>
      <c r="C176" t="s">
        <v>706</v>
      </c>
      <c r="D176" t="s">
        <v>15</v>
      </c>
      <c r="E176">
        <v>47</v>
      </c>
      <c r="F176" t="str">
        <f t="shared" si="4"/>
        <v>Adult</v>
      </c>
      <c r="G176" t="s">
        <v>707</v>
      </c>
      <c r="H176" t="str">
        <f t="shared" si="5"/>
        <v>Apr</v>
      </c>
      <c r="I176" t="s">
        <v>17</v>
      </c>
      <c r="J176" t="s">
        <v>79</v>
      </c>
      <c r="K176" t="s">
        <v>708</v>
      </c>
      <c r="L176" t="s">
        <v>33</v>
      </c>
      <c r="M176" t="s">
        <v>21</v>
      </c>
      <c r="N176">
        <v>4</v>
      </c>
      <c r="O176" t="s">
        <v>22</v>
      </c>
      <c r="P176">
        <v>3225.29</v>
      </c>
      <c r="Q176" t="s">
        <v>35</v>
      </c>
      <c r="R176" t="s">
        <v>36</v>
      </c>
      <c r="S176">
        <v>560001</v>
      </c>
      <c r="T176" t="s">
        <v>25</v>
      </c>
      <c r="U176" t="s">
        <v>26</v>
      </c>
    </row>
    <row r="177" spans="1:21" x14ac:dyDescent="0.3">
      <c r="A177">
        <v>176</v>
      </c>
      <c r="B177" t="s">
        <v>709</v>
      </c>
      <c r="C177" t="s">
        <v>710</v>
      </c>
      <c r="D177" t="s">
        <v>29</v>
      </c>
      <c r="E177">
        <v>56</v>
      </c>
      <c r="F177" t="str">
        <f t="shared" si="4"/>
        <v>Senior</v>
      </c>
      <c r="G177" t="s">
        <v>711</v>
      </c>
      <c r="H177" t="str">
        <f t="shared" si="5"/>
        <v>Sep</v>
      </c>
      <c r="I177" t="s">
        <v>48</v>
      </c>
      <c r="J177" t="s">
        <v>31</v>
      </c>
      <c r="K177" t="s">
        <v>712</v>
      </c>
      <c r="L177" t="s">
        <v>20</v>
      </c>
      <c r="M177" t="s">
        <v>34</v>
      </c>
      <c r="N177">
        <v>2</v>
      </c>
      <c r="O177" t="s">
        <v>22</v>
      </c>
      <c r="P177">
        <v>750.59</v>
      </c>
      <c r="Q177" t="s">
        <v>51</v>
      </c>
      <c r="R177" t="s">
        <v>51</v>
      </c>
      <c r="S177">
        <v>110001</v>
      </c>
      <c r="T177" t="s">
        <v>25</v>
      </c>
      <c r="U177" t="s">
        <v>44</v>
      </c>
    </row>
    <row r="178" spans="1:21" x14ac:dyDescent="0.3">
      <c r="A178">
        <v>177</v>
      </c>
      <c r="B178" t="s">
        <v>713</v>
      </c>
      <c r="C178" t="s">
        <v>714</v>
      </c>
      <c r="D178" t="s">
        <v>29</v>
      </c>
      <c r="E178">
        <v>26</v>
      </c>
      <c r="F178" t="str">
        <f t="shared" si="4"/>
        <v>Teenager</v>
      </c>
      <c r="G178" t="s">
        <v>539</v>
      </c>
      <c r="H178" t="str">
        <f t="shared" si="5"/>
        <v>May</v>
      </c>
      <c r="I178" t="s">
        <v>60</v>
      </c>
      <c r="J178" t="s">
        <v>18</v>
      </c>
      <c r="K178" t="s">
        <v>715</v>
      </c>
      <c r="L178" t="s">
        <v>73</v>
      </c>
      <c r="M178" t="s">
        <v>50</v>
      </c>
      <c r="N178">
        <v>1</v>
      </c>
      <c r="O178" t="s">
        <v>22</v>
      </c>
      <c r="P178">
        <v>3663.1</v>
      </c>
      <c r="Q178" t="s">
        <v>51</v>
      </c>
      <c r="R178" t="s">
        <v>51</v>
      </c>
      <c r="S178">
        <v>110001</v>
      </c>
      <c r="T178" t="s">
        <v>25</v>
      </c>
      <c r="U178" t="s">
        <v>26</v>
      </c>
    </row>
    <row r="179" spans="1:21" x14ac:dyDescent="0.3">
      <c r="A179">
        <v>178</v>
      </c>
      <c r="B179" t="s">
        <v>716</v>
      </c>
      <c r="C179" t="s">
        <v>717</v>
      </c>
      <c r="D179" t="s">
        <v>15</v>
      </c>
      <c r="E179">
        <v>48</v>
      </c>
      <c r="F179" t="str">
        <f t="shared" si="4"/>
        <v>Adult</v>
      </c>
      <c r="G179" t="s">
        <v>718</v>
      </c>
      <c r="H179" t="str">
        <f t="shared" si="5"/>
        <v>Jul</v>
      </c>
      <c r="I179" t="s">
        <v>60</v>
      </c>
      <c r="J179" t="s">
        <v>71</v>
      </c>
      <c r="K179" t="s">
        <v>719</v>
      </c>
      <c r="L179" t="s">
        <v>62</v>
      </c>
      <c r="M179" t="s">
        <v>34</v>
      </c>
      <c r="N179">
        <v>2</v>
      </c>
      <c r="O179" t="s">
        <v>22</v>
      </c>
      <c r="P179">
        <v>3385.07</v>
      </c>
      <c r="Q179" t="s">
        <v>35</v>
      </c>
      <c r="R179" t="s">
        <v>51</v>
      </c>
      <c r="S179">
        <v>560001</v>
      </c>
      <c r="T179" t="s">
        <v>25</v>
      </c>
      <c r="U179" t="s">
        <v>44</v>
      </c>
    </row>
    <row r="180" spans="1:21" x14ac:dyDescent="0.3">
      <c r="A180">
        <v>179</v>
      </c>
      <c r="B180" t="s">
        <v>720</v>
      </c>
      <c r="C180" t="s">
        <v>721</v>
      </c>
      <c r="D180" t="s">
        <v>15</v>
      </c>
      <c r="E180">
        <v>25</v>
      </c>
      <c r="F180" t="str">
        <f t="shared" si="4"/>
        <v>Teenager</v>
      </c>
      <c r="G180" t="s">
        <v>674</v>
      </c>
      <c r="H180" t="str">
        <f t="shared" si="5"/>
        <v>Jun</v>
      </c>
      <c r="I180" t="s">
        <v>60</v>
      </c>
      <c r="J180" t="s">
        <v>31</v>
      </c>
      <c r="K180" t="s">
        <v>722</v>
      </c>
      <c r="L180" t="s">
        <v>56</v>
      </c>
      <c r="M180" t="s">
        <v>21</v>
      </c>
      <c r="N180">
        <v>1</v>
      </c>
      <c r="O180" t="s">
        <v>22</v>
      </c>
      <c r="P180">
        <v>3863.48</v>
      </c>
      <c r="Q180" t="s">
        <v>42</v>
      </c>
      <c r="R180" t="s">
        <v>43</v>
      </c>
      <c r="S180">
        <v>302001</v>
      </c>
      <c r="T180" t="s">
        <v>25</v>
      </c>
      <c r="U180" t="s">
        <v>26</v>
      </c>
    </row>
    <row r="181" spans="1:21" x14ac:dyDescent="0.3">
      <c r="A181">
        <v>180</v>
      </c>
      <c r="B181" t="s">
        <v>723</v>
      </c>
      <c r="C181" t="s">
        <v>724</v>
      </c>
      <c r="D181" t="s">
        <v>15</v>
      </c>
      <c r="E181">
        <v>29</v>
      </c>
      <c r="F181" t="str">
        <f t="shared" si="4"/>
        <v>Teenager</v>
      </c>
      <c r="G181" t="s">
        <v>16</v>
      </c>
      <c r="H181" t="str">
        <f t="shared" si="5"/>
        <v>Mar</v>
      </c>
      <c r="I181" t="s">
        <v>60</v>
      </c>
      <c r="J181" t="s">
        <v>31</v>
      </c>
      <c r="K181" t="s">
        <v>725</v>
      </c>
      <c r="L181" t="s">
        <v>56</v>
      </c>
      <c r="M181" t="s">
        <v>50</v>
      </c>
      <c r="N181">
        <v>3</v>
      </c>
      <c r="O181" t="s">
        <v>22</v>
      </c>
      <c r="P181">
        <v>3241.91</v>
      </c>
      <c r="Q181" t="s">
        <v>35</v>
      </c>
      <c r="R181" t="s">
        <v>36</v>
      </c>
      <c r="S181">
        <v>560001</v>
      </c>
      <c r="T181" t="s">
        <v>25</v>
      </c>
      <c r="U181" t="s">
        <v>26</v>
      </c>
    </row>
    <row r="182" spans="1:21" x14ac:dyDescent="0.3">
      <c r="A182">
        <v>181</v>
      </c>
      <c r="B182" t="s">
        <v>726</v>
      </c>
      <c r="C182" t="s">
        <v>727</v>
      </c>
      <c r="D182" t="s">
        <v>15</v>
      </c>
      <c r="E182">
        <v>55</v>
      </c>
      <c r="F182" t="str">
        <f t="shared" si="4"/>
        <v>Senior</v>
      </c>
      <c r="G182" t="s">
        <v>159</v>
      </c>
      <c r="H182" t="str">
        <f t="shared" si="5"/>
        <v>Aug</v>
      </c>
      <c r="I182" t="s">
        <v>60</v>
      </c>
      <c r="J182" t="s">
        <v>79</v>
      </c>
      <c r="K182" t="s">
        <v>728</v>
      </c>
      <c r="L182" t="s">
        <v>56</v>
      </c>
      <c r="M182" t="s">
        <v>50</v>
      </c>
      <c r="N182">
        <v>5</v>
      </c>
      <c r="O182" t="s">
        <v>22</v>
      </c>
      <c r="P182">
        <v>2506.1</v>
      </c>
      <c r="Q182" t="s">
        <v>23</v>
      </c>
      <c r="R182" t="s">
        <v>24</v>
      </c>
      <c r="S182">
        <v>400001</v>
      </c>
      <c r="T182" t="s">
        <v>25</v>
      </c>
      <c r="U182" t="s">
        <v>44</v>
      </c>
    </row>
    <row r="183" spans="1:21" x14ac:dyDescent="0.3">
      <c r="A183">
        <v>182</v>
      </c>
      <c r="B183" t="s">
        <v>729</v>
      </c>
      <c r="C183" t="s">
        <v>730</v>
      </c>
      <c r="D183" t="s">
        <v>15</v>
      </c>
      <c r="E183">
        <v>47</v>
      </c>
      <c r="F183" t="str">
        <f t="shared" si="4"/>
        <v>Adult</v>
      </c>
      <c r="G183" t="s">
        <v>338</v>
      </c>
      <c r="H183" t="str">
        <f t="shared" si="5"/>
        <v>May</v>
      </c>
      <c r="I183" t="s">
        <v>60</v>
      </c>
      <c r="J183" t="s">
        <v>31</v>
      </c>
      <c r="K183" t="s">
        <v>731</v>
      </c>
      <c r="L183" t="s">
        <v>73</v>
      </c>
      <c r="M183" t="s">
        <v>21</v>
      </c>
      <c r="N183">
        <v>5</v>
      </c>
      <c r="O183" t="s">
        <v>22</v>
      </c>
      <c r="P183">
        <v>3130.1</v>
      </c>
      <c r="Q183" t="s">
        <v>74</v>
      </c>
      <c r="R183" t="s">
        <v>75</v>
      </c>
      <c r="S183">
        <v>226001</v>
      </c>
      <c r="T183" t="s">
        <v>25</v>
      </c>
      <c r="U183" t="s">
        <v>26</v>
      </c>
    </row>
    <row r="184" spans="1:21" x14ac:dyDescent="0.3">
      <c r="A184">
        <v>183</v>
      </c>
      <c r="B184" t="s">
        <v>732</v>
      </c>
      <c r="C184" t="s">
        <v>733</v>
      </c>
      <c r="D184" t="s">
        <v>29</v>
      </c>
      <c r="E184">
        <v>34</v>
      </c>
      <c r="F184" t="str">
        <f t="shared" si="4"/>
        <v>Adult</v>
      </c>
      <c r="G184" t="s">
        <v>54</v>
      </c>
      <c r="H184" t="str">
        <f t="shared" si="5"/>
        <v>Jun</v>
      </c>
      <c r="I184" t="s">
        <v>60</v>
      </c>
      <c r="J184" t="s">
        <v>18</v>
      </c>
      <c r="K184" t="s">
        <v>734</v>
      </c>
      <c r="L184" t="s">
        <v>56</v>
      </c>
      <c r="M184" t="s">
        <v>21</v>
      </c>
      <c r="N184">
        <v>3</v>
      </c>
      <c r="O184" t="s">
        <v>22</v>
      </c>
      <c r="P184">
        <v>4557.43</v>
      </c>
      <c r="Q184" t="s">
        <v>23</v>
      </c>
      <c r="R184" t="s">
        <v>24</v>
      </c>
      <c r="S184">
        <v>400001</v>
      </c>
      <c r="T184" t="s">
        <v>25</v>
      </c>
      <c r="U184" t="s">
        <v>26</v>
      </c>
    </row>
    <row r="185" spans="1:21" x14ac:dyDescent="0.3">
      <c r="A185">
        <v>184</v>
      </c>
      <c r="B185" t="s">
        <v>735</v>
      </c>
      <c r="C185" t="s">
        <v>736</v>
      </c>
      <c r="D185" t="s">
        <v>15</v>
      </c>
      <c r="E185">
        <v>36</v>
      </c>
      <c r="F185" t="str">
        <f t="shared" si="4"/>
        <v>Adult</v>
      </c>
      <c r="G185" t="s">
        <v>449</v>
      </c>
      <c r="H185" t="str">
        <f t="shared" si="5"/>
        <v>Aug</v>
      </c>
      <c r="I185" t="s">
        <v>60</v>
      </c>
      <c r="J185" t="s">
        <v>31</v>
      </c>
      <c r="K185" t="s">
        <v>737</v>
      </c>
      <c r="L185" t="s">
        <v>107</v>
      </c>
      <c r="M185" t="s">
        <v>85</v>
      </c>
      <c r="N185">
        <v>4</v>
      </c>
      <c r="O185" t="s">
        <v>22</v>
      </c>
      <c r="P185">
        <v>4813.68</v>
      </c>
      <c r="Q185" t="s">
        <v>74</v>
      </c>
      <c r="R185" t="s">
        <v>75</v>
      </c>
      <c r="S185">
        <v>226001</v>
      </c>
      <c r="T185" t="s">
        <v>25</v>
      </c>
      <c r="U185" t="s">
        <v>44</v>
      </c>
    </row>
    <row r="186" spans="1:21" x14ac:dyDescent="0.3">
      <c r="A186">
        <v>185</v>
      </c>
      <c r="B186" t="s">
        <v>738</v>
      </c>
      <c r="C186" t="s">
        <v>739</v>
      </c>
      <c r="D186" t="s">
        <v>15</v>
      </c>
      <c r="E186">
        <v>24</v>
      </c>
      <c r="F186" t="str">
        <f t="shared" si="4"/>
        <v>Teenager</v>
      </c>
      <c r="G186" t="s">
        <v>740</v>
      </c>
      <c r="H186" t="str">
        <f t="shared" si="5"/>
        <v>Sep</v>
      </c>
      <c r="I186" t="s">
        <v>60</v>
      </c>
      <c r="J186" t="s">
        <v>71</v>
      </c>
      <c r="K186" t="s">
        <v>741</v>
      </c>
      <c r="L186" t="s">
        <v>33</v>
      </c>
      <c r="M186" t="s">
        <v>34</v>
      </c>
      <c r="N186">
        <v>1</v>
      </c>
      <c r="O186" t="s">
        <v>22</v>
      </c>
      <c r="P186">
        <v>2113.79</v>
      </c>
      <c r="Q186" t="s">
        <v>23</v>
      </c>
      <c r="R186" t="s">
        <v>24</v>
      </c>
      <c r="S186">
        <v>400001</v>
      </c>
      <c r="T186" t="s">
        <v>25</v>
      </c>
      <c r="U186" t="s">
        <v>26</v>
      </c>
    </row>
    <row r="187" spans="1:21" x14ac:dyDescent="0.3">
      <c r="A187">
        <v>186</v>
      </c>
      <c r="B187" t="s">
        <v>742</v>
      </c>
      <c r="C187" t="s">
        <v>743</v>
      </c>
      <c r="D187" t="s">
        <v>15</v>
      </c>
      <c r="E187">
        <v>30</v>
      </c>
      <c r="F187" t="str">
        <f t="shared" si="4"/>
        <v>Adult</v>
      </c>
      <c r="G187" t="s">
        <v>171</v>
      </c>
      <c r="H187" t="str">
        <f t="shared" si="5"/>
        <v>Jul</v>
      </c>
      <c r="I187" t="s">
        <v>60</v>
      </c>
      <c r="J187" t="s">
        <v>71</v>
      </c>
      <c r="K187" t="s">
        <v>744</v>
      </c>
      <c r="L187" t="s">
        <v>56</v>
      </c>
      <c r="M187" t="s">
        <v>85</v>
      </c>
      <c r="N187">
        <v>1</v>
      </c>
      <c r="O187" t="s">
        <v>22</v>
      </c>
      <c r="P187">
        <v>2223.39</v>
      </c>
      <c r="Q187" t="s">
        <v>51</v>
      </c>
      <c r="R187" t="s">
        <v>51</v>
      </c>
      <c r="S187">
        <v>110001</v>
      </c>
      <c r="T187" t="s">
        <v>25</v>
      </c>
      <c r="U187" t="s">
        <v>44</v>
      </c>
    </row>
    <row r="188" spans="1:21" x14ac:dyDescent="0.3">
      <c r="A188">
        <v>187</v>
      </c>
      <c r="B188" t="s">
        <v>745</v>
      </c>
      <c r="C188" t="s">
        <v>746</v>
      </c>
      <c r="D188" t="s">
        <v>15</v>
      </c>
      <c r="E188">
        <v>41</v>
      </c>
      <c r="F188" t="str">
        <f t="shared" si="4"/>
        <v>Adult</v>
      </c>
      <c r="G188" t="s">
        <v>747</v>
      </c>
      <c r="H188" t="str">
        <f t="shared" si="5"/>
        <v>Dec</v>
      </c>
      <c r="I188" t="s">
        <v>60</v>
      </c>
      <c r="J188" t="s">
        <v>101</v>
      </c>
      <c r="K188" t="s">
        <v>748</v>
      </c>
      <c r="L188" t="s">
        <v>62</v>
      </c>
      <c r="M188" t="s">
        <v>85</v>
      </c>
      <c r="N188">
        <v>4</v>
      </c>
      <c r="O188" t="s">
        <v>22</v>
      </c>
      <c r="P188">
        <v>1084.1500000000001</v>
      </c>
      <c r="Q188" t="s">
        <v>74</v>
      </c>
      <c r="R188" t="s">
        <v>51</v>
      </c>
      <c r="S188">
        <v>226001</v>
      </c>
      <c r="T188" t="s">
        <v>25</v>
      </c>
      <c r="U188" t="s">
        <v>26</v>
      </c>
    </row>
    <row r="189" spans="1:21" x14ac:dyDescent="0.3">
      <c r="A189">
        <v>188</v>
      </c>
      <c r="B189" t="s">
        <v>749</v>
      </c>
      <c r="C189" t="s">
        <v>750</v>
      </c>
      <c r="D189" t="s">
        <v>15</v>
      </c>
      <c r="E189">
        <v>54</v>
      </c>
      <c r="F189" t="str">
        <f t="shared" si="4"/>
        <v>Senior</v>
      </c>
      <c r="G189" t="s">
        <v>595</v>
      </c>
      <c r="H189" t="str">
        <f t="shared" si="5"/>
        <v>Feb</v>
      </c>
      <c r="I189" t="s">
        <v>60</v>
      </c>
      <c r="J189" t="s">
        <v>71</v>
      </c>
      <c r="K189" t="s">
        <v>751</v>
      </c>
      <c r="L189" t="s">
        <v>73</v>
      </c>
      <c r="M189" t="s">
        <v>34</v>
      </c>
      <c r="N189">
        <v>1</v>
      </c>
      <c r="O189" t="s">
        <v>22</v>
      </c>
      <c r="P189">
        <v>3316</v>
      </c>
      <c r="Q189" t="s">
        <v>42</v>
      </c>
      <c r="R189" t="s">
        <v>51</v>
      </c>
      <c r="S189">
        <v>302001</v>
      </c>
      <c r="T189" t="s">
        <v>25</v>
      </c>
      <c r="U189" t="s">
        <v>44</v>
      </c>
    </row>
    <row r="190" spans="1:21" x14ac:dyDescent="0.3">
      <c r="A190">
        <v>189</v>
      </c>
      <c r="B190" t="s">
        <v>752</v>
      </c>
      <c r="C190" t="s">
        <v>753</v>
      </c>
      <c r="D190" t="s">
        <v>15</v>
      </c>
      <c r="E190">
        <v>59</v>
      </c>
      <c r="F190" t="str">
        <f t="shared" si="4"/>
        <v>Senior</v>
      </c>
      <c r="G190" t="s">
        <v>512</v>
      </c>
      <c r="H190" t="str">
        <f t="shared" si="5"/>
        <v>Oct</v>
      </c>
      <c r="I190" t="s">
        <v>60</v>
      </c>
      <c r="J190" t="s">
        <v>18</v>
      </c>
      <c r="K190" t="s">
        <v>754</v>
      </c>
      <c r="L190" t="s">
        <v>107</v>
      </c>
      <c r="M190" t="s">
        <v>50</v>
      </c>
      <c r="N190">
        <v>2</v>
      </c>
      <c r="O190" t="s">
        <v>22</v>
      </c>
      <c r="P190">
        <v>1599.12</v>
      </c>
      <c r="Q190" t="s">
        <v>23</v>
      </c>
      <c r="R190" t="s">
        <v>51</v>
      </c>
      <c r="S190">
        <v>400001</v>
      </c>
      <c r="T190" t="s">
        <v>25</v>
      </c>
      <c r="U190" t="s">
        <v>26</v>
      </c>
    </row>
    <row r="191" spans="1:21" x14ac:dyDescent="0.3">
      <c r="A191">
        <v>190</v>
      </c>
      <c r="B191" t="s">
        <v>755</v>
      </c>
      <c r="C191" t="s">
        <v>756</v>
      </c>
      <c r="D191" t="s">
        <v>29</v>
      </c>
      <c r="E191">
        <v>43</v>
      </c>
      <c r="F191" t="str">
        <f t="shared" si="4"/>
        <v>Adult</v>
      </c>
      <c r="G191" t="s">
        <v>757</v>
      </c>
      <c r="H191" t="str">
        <f t="shared" si="5"/>
        <v>Dec</v>
      </c>
      <c r="I191" t="s">
        <v>60</v>
      </c>
      <c r="J191" t="s">
        <v>101</v>
      </c>
      <c r="K191" t="s">
        <v>758</v>
      </c>
      <c r="L191" t="s">
        <v>73</v>
      </c>
      <c r="M191" t="s">
        <v>50</v>
      </c>
      <c r="N191">
        <v>5</v>
      </c>
      <c r="O191" t="s">
        <v>22</v>
      </c>
      <c r="P191">
        <v>683.12</v>
      </c>
      <c r="Q191" t="s">
        <v>23</v>
      </c>
      <c r="R191" t="s">
        <v>51</v>
      </c>
      <c r="S191">
        <v>400001</v>
      </c>
      <c r="T191" t="s">
        <v>25</v>
      </c>
      <c r="U191" t="s">
        <v>44</v>
      </c>
    </row>
    <row r="192" spans="1:21" x14ac:dyDescent="0.3">
      <c r="A192">
        <v>191</v>
      </c>
      <c r="B192" t="s">
        <v>759</v>
      </c>
      <c r="C192" t="s">
        <v>760</v>
      </c>
      <c r="D192" t="s">
        <v>29</v>
      </c>
      <c r="E192">
        <v>36</v>
      </c>
      <c r="F192" t="str">
        <f t="shared" si="4"/>
        <v>Adult</v>
      </c>
      <c r="G192" t="s">
        <v>643</v>
      </c>
      <c r="H192" t="str">
        <f t="shared" si="5"/>
        <v>Aug</v>
      </c>
      <c r="I192" t="s">
        <v>60</v>
      </c>
      <c r="J192" t="s">
        <v>79</v>
      </c>
      <c r="K192" t="s">
        <v>761</v>
      </c>
      <c r="L192" t="s">
        <v>62</v>
      </c>
      <c r="M192" t="s">
        <v>34</v>
      </c>
      <c r="N192">
        <v>4</v>
      </c>
      <c r="O192" t="s">
        <v>22</v>
      </c>
      <c r="P192">
        <v>2265.8200000000002</v>
      </c>
      <c r="Q192" t="s">
        <v>35</v>
      </c>
      <c r="R192" t="s">
        <v>51</v>
      </c>
      <c r="S192">
        <v>560001</v>
      </c>
      <c r="T192" t="s">
        <v>25</v>
      </c>
      <c r="U192" t="s">
        <v>44</v>
      </c>
    </row>
    <row r="193" spans="1:21" x14ac:dyDescent="0.3">
      <c r="A193">
        <v>192</v>
      </c>
      <c r="B193" t="s">
        <v>762</v>
      </c>
      <c r="C193" t="s">
        <v>763</v>
      </c>
      <c r="D193" t="s">
        <v>15</v>
      </c>
      <c r="E193">
        <v>21</v>
      </c>
      <c r="F193" t="str">
        <f t="shared" si="4"/>
        <v>Teenager</v>
      </c>
      <c r="G193" t="s">
        <v>764</v>
      </c>
      <c r="H193" t="str">
        <f t="shared" si="5"/>
        <v>Nov</v>
      </c>
      <c r="I193" t="s">
        <v>60</v>
      </c>
      <c r="J193" t="s">
        <v>71</v>
      </c>
      <c r="K193" t="s">
        <v>765</v>
      </c>
      <c r="L193" t="s">
        <v>33</v>
      </c>
      <c r="M193" t="s">
        <v>34</v>
      </c>
      <c r="N193">
        <v>3</v>
      </c>
      <c r="O193" t="s">
        <v>22</v>
      </c>
      <c r="P193">
        <v>2909.27</v>
      </c>
      <c r="Q193" t="s">
        <v>51</v>
      </c>
      <c r="R193" t="s">
        <v>51</v>
      </c>
      <c r="S193">
        <v>110001</v>
      </c>
      <c r="T193" t="s">
        <v>25</v>
      </c>
      <c r="U193" t="s">
        <v>44</v>
      </c>
    </row>
    <row r="194" spans="1:21" x14ac:dyDescent="0.3">
      <c r="A194">
        <v>193</v>
      </c>
      <c r="B194" t="s">
        <v>766</v>
      </c>
      <c r="C194" t="s">
        <v>767</v>
      </c>
      <c r="D194" t="s">
        <v>29</v>
      </c>
      <c r="E194">
        <v>22</v>
      </c>
      <c r="F194" t="str">
        <f t="shared" si="4"/>
        <v>Teenager</v>
      </c>
      <c r="G194" t="s">
        <v>768</v>
      </c>
      <c r="H194" t="str">
        <f t="shared" si="5"/>
        <v>Jun</v>
      </c>
      <c r="I194" t="s">
        <v>60</v>
      </c>
      <c r="J194" t="s">
        <v>71</v>
      </c>
      <c r="K194" t="s">
        <v>769</v>
      </c>
      <c r="L194" t="s">
        <v>56</v>
      </c>
      <c r="M194" t="s">
        <v>85</v>
      </c>
      <c r="N194">
        <v>5</v>
      </c>
      <c r="O194" t="s">
        <v>22</v>
      </c>
      <c r="P194">
        <v>3551.49</v>
      </c>
      <c r="Q194" t="s">
        <v>74</v>
      </c>
      <c r="R194" t="s">
        <v>24</v>
      </c>
      <c r="S194">
        <v>226001</v>
      </c>
      <c r="T194" t="s">
        <v>25</v>
      </c>
      <c r="U194" t="s">
        <v>44</v>
      </c>
    </row>
    <row r="195" spans="1:21" x14ac:dyDescent="0.3">
      <c r="A195">
        <v>194</v>
      </c>
      <c r="B195" t="s">
        <v>770</v>
      </c>
      <c r="C195" t="s">
        <v>771</v>
      </c>
      <c r="D195" t="s">
        <v>29</v>
      </c>
      <c r="E195">
        <v>25</v>
      </c>
      <c r="F195" t="str">
        <f t="shared" ref="F195:F258" si="6">IF(E195&gt;=50,"Senior", IF(E195&gt;=30, "Adult","Teenager"))</f>
        <v>Teenager</v>
      </c>
      <c r="G195" t="s">
        <v>426</v>
      </c>
      <c r="H195" t="str">
        <f t="shared" ref="H195:H258" si="7">TEXT(G195,"MMM")</f>
        <v>Nov</v>
      </c>
      <c r="I195" t="s">
        <v>70</v>
      </c>
      <c r="J195" t="s">
        <v>101</v>
      </c>
      <c r="K195" t="s">
        <v>772</v>
      </c>
      <c r="L195" t="s">
        <v>73</v>
      </c>
      <c r="M195" t="s">
        <v>50</v>
      </c>
      <c r="N195">
        <v>3</v>
      </c>
      <c r="O195" t="s">
        <v>22</v>
      </c>
      <c r="P195">
        <v>2725.84</v>
      </c>
      <c r="Q195" t="s">
        <v>42</v>
      </c>
      <c r="R195" t="s">
        <v>43</v>
      </c>
      <c r="S195">
        <v>302001</v>
      </c>
      <c r="T195" t="s">
        <v>25</v>
      </c>
      <c r="U195" t="s">
        <v>26</v>
      </c>
    </row>
    <row r="196" spans="1:21" x14ac:dyDescent="0.3">
      <c r="A196">
        <v>195</v>
      </c>
      <c r="B196" t="s">
        <v>773</v>
      </c>
      <c r="C196" t="s">
        <v>774</v>
      </c>
      <c r="D196" t="s">
        <v>29</v>
      </c>
      <c r="E196">
        <v>52</v>
      </c>
      <c r="F196" t="str">
        <f t="shared" si="6"/>
        <v>Senior</v>
      </c>
      <c r="G196" t="s">
        <v>504</v>
      </c>
      <c r="H196" t="str">
        <f t="shared" si="7"/>
        <v>Jun</v>
      </c>
      <c r="I196" t="s">
        <v>60</v>
      </c>
      <c r="J196" t="s">
        <v>71</v>
      </c>
      <c r="K196" t="s">
        <v>775</v>
      </c>
      <c r="L196" t="s">
        <v>33</v>
      </c>
      <c r="M196" t="s">
        <v>21</v>
      </c>
      <c r="N196">
        <v>2</v>
      </c>
      <c r="O196" t="s">
        <v>22</v>
      </c>
      <c r="P196">
        <v>3422.14</v>
      </c>
      <c r="Q196" t="s">
        <v>42</v>
      </c>
      <c r="R196" t="s">
        <v>43</v>
      </c>
      <c r="S196">
        <v>302001</v>
      </c>
      <c r="T196" t="s">
        <v>25</v>
      </c>
      <c r="U196" t="s">
        <v>26</v>
      </c>
    </row>
    <row r="197" spans="1:21" x14ac:dyDescent="0.3">
      <c r="A197">
        <v>196</v>
      </c>
      <c r="B197" t="s">
        <v>776</v>
      </c>
      <c r="C197" t="s">
        <v>777</v>
      </c>
      <c r="D197" t="s">
        <v>29</v>
      </c>
      <c r="E197">
        <v>38</v>
      </c>
      <c r="F197" t="str">
        <f t="shared" si="6"/>
        <v>Adult</v>
      </c>
      <c r="G197" t="s">
        <v>461</v>
      </c>
      <c r="H197" t="str">
        <f t="shared" si="7"/>
        <v>Jun</v>
      </c>
      <c r="I197" t="s">
        <v>17</v>
      </c>
      <c r="J197" t="s">
        <v>31</v>
      </c>
      <c r="K197" t="s">
        <v>778</v>
      </c>
      <c r="L197" t="s">
        <v>62</v>
      </c>
      <c r="M197" t="s">
        <v>50</v>
      </c>
      <c r="N197">
        <v>2</v>
      </c>
      <c r="O197" t="s">
        <v>22</v>
      </c>
      <c r="P197">
        <v>804.04</v>
      </c>
      <c r="Q197" t="s">
        <v>23</v>
      </c>
      <c r="R197" t="s">
        <v>43</v>
      </c>
      <c r="S197">
        <v>400001</v>
      </c>
      <c r="T197" t="s">
        <v>25</v>
      </c>
      <c r="U197" t="s">
        <v>44</v>
      </c>
    </row>
    <row r="198" spans="1:21" x14ac:dyDescent="0.3">
      <c r="A198">
        <v>197</v>
      </c>
      <c r="B198" t="s">
        <v>779</v>
      </c>
      <c r="C198" t="s">
        <v>780</v>
      </c>
      <c r="D198" t="s">
        <v>15</v>
      </c>
      <c r="E198">
        <v>26</v>
      </c>
      <c r="F198" t="str">
        <f t="shared" si="6"/>
        <v>Teenager</v>
      </c>
      <c r="G198" t="s">
        <v>139</v>
      </c>
      <c r="H198" t="str">
        <f t="shared" si="7"/>
        <v>Feb</v>
      </c>
      <c r="I198" t="s">
        <v>70</v>
      </c>
      <c r="J198" t="s">
        <v>18</v>
      </c>
      <c r="K198" t="s">
        <v>781</v>
      </c>
      <c r="L198" t="s">
        <v>73</v>
      </c>
      <c r="M198" t="s">
        <v>34</v>
      </c>
      <c r="N198">
        <v>4</v>
      </c>
      <c r="O198" t="s">
        <v>22</v>
      </c>
      <c r="P198">
        <v>1188.26</v>
      </c>
      <c r="Q198" t="s">
        <v>23</v>
      </c>
      <c r="R198" t="s">
        <v>43</v>
      </c>
      <c r="S198">
        <v>400001</v>
      </c>
      <c r="T198" t="s">
        <v>25</v>
      </c>
      <c r="U198" t="s">
        <v>26</v>
      </c>
    </row>
    <row r="199" spans="1:21" x14ac:dyDescent="0.3">
      <c r="A199">
        <v>198</v>
      </c>
      <c r="B199" t="s">
        <v>782</v>
      </c>
      <c r="C199" t="s">
        <v>783</v>
      </c>
      <c r="D199" t="s">
        <v>29</v>
      </c>
      <c r="E199">
        <v>32</v>
      </c>
      <c r="F199" t="str">
        <f t="shared" si="6"/>
        <v>Adult</v>
      </c>
      <c r="G199" t="s">
        <v>784</v>
      </c>
      <c r="H199" t="str">
        <f t="shared" si="7"/>
        <v>Jan</v>
      </c>
      <c r="I199" t="s">
        <v>70</v>
      </c>
      <c r="J199" t="s">
        <v>18</v>
      </c>
      <c r="K199" t="s">
        <v>785</v>
      </c>
      <c r="L199" t="s">
        <v>62</v>
      </c>
      <c r="M199" t="s">
        <v>34</v>
      </c>
      <c r="N199">
        <v>1</v>
      </c>
      <c r="O199" t="s">
        <v>22</v>
      </c>
      <c r="P199">
        <v>1312.55</v>
      </c>
      <c r="Q199" t="s">
        <v>51</v>
      </c>
      <c r="R199" t="s">
        <v>43</v>
      </c>
      <c r="S199">
        <v>110001</v>
      </c>
      <c r="T199" t="s">
        <v>25</v>
      </c>
      <c r="U199" t="s">
        <v>26</v>
      </c>
    </row>
    <row r="200" spans="1:21" x14ac:dyDescent="0.3">
      <c r="A200">
        <v>199</v>
      </c>
      <c r="B200" t="s">
        <v>786</v>
      </c>
      <c r="C200" t="s">
        <v>787</v>
      </c>
      <c r="D200" t="s">
        <v>29</v>
      </c>
      <c r="E200">
        <v>33</v>
      </c>
      <c r="F200" t="str">
        <f t="shared" si="6"/>
        <v>Adult</v>
      </c>
      <c r="G200" t="s">
        <v>764</v>
      </c>
      <c r="H200" t="str">
        <f t="shared" si="7"/>
        <v>Nov</v>
      </c>
      <c r="I200" t="s">
        <v>48</v>
      </c>
      <c r="J200" t="s">
        <v>40</v>
      </c>
      <c r="K200" t="s">
        <v>788</v>
      </c>
      <c r="L200" t="s">
        <v>73</v>
      </c>
      <c r="M200" t="s">
        <v>34</v>
      </c>
      <c r="N200">
        <v>5</v>
      </c>
      <c r="O200" t="s">
        <v>22</v>
      </c>
      <c r="P200">
        <v>2969.63</v>
      </c>
      <c r="Q200" t="s">
        <v>51</v>
      </c>
      <c r="R200" t="s">
        <v>43</v>
      </c>
      <c r="S200">
        <v>110001</v>
      </c>
      <c r="T200" t="s">
        <v>25</v>
      </c>
      <c r="U200" t="s">
        <v>44</v>
      </c>
    </row>
    <row r="201" spans="1:21" x14ac:dyDescent="0.3">
      <c r="A201">
        <v>200</v>
      </c>
      <c r="B201" t="s">
        <v>789</v>
      </c>
      <c r="C201" t="s">
        <v>790</v>
      </c>
      <c r="D201" t="s">
        <v>15</v>
      </c>
      <c r="E201">
        <v>58</v>
      </c>
      <c r="F201" t="str">
        <f t="shared" si="6"/>
        <v>Senior</v>
      </c>
      <c r="G201" t="s">
        <v>791</v>
      </c>
      <c r="H201" t="str">
        <f t="shared" si="7"/>
        <v>Apr</v>
      </c>
      <c r="I201" t="s">
        <v>17</v>
      </c>
      <c r="J201" t="s">
        <v>31</v>
      </c>
      <c r="K201" t="s">
        <v>792</v>
      </c>
      <c r="L201" t="s">
        <v>33</v>
      </c>
      <c r="M201" t="s">
        <v>34</v>
      </c>
      <c r="N201">
        <v>2</v>
      </c>
      <c r="O201" t="s">
        <v>22</v>
      </c>
      <c r="P201">
        <v>3900.36</v>
      </c>
      <c r="Q201" t="s">
        <v>74</v>
      </c>
      <c r="R201" t="s">
        <v>43</v>
      </c>
      <c r="S201">
        <v>226001</v>
      </c>
      <c r="T201" t="s">
        <v>25</v>
      </c>
      <c r="U201" t="s">
        <v>26</v>
      </c>
    </row>
    <row r="202" spans="1:21" x14ac:dyDescent="0.3">
      <c r="A202">
        <v>201</v>
      </c>
      <c r="B202" t="s">
        <v>793</v>
      </c>
      <c r="C202" t="s">
        <v>794</v>
      </c>
      <c r="D202" t="s">
        <v>29</v>
      </c>
      <c r="E202">
        <v>53</v>
      </c>
      <c r="F202" t="str">
        <f t="shared" si="6"/>
        <v>Senior</v>
      </c>
      <c r="G202" t="s">
        <v>791</v>
      </c>
      <c r="H202" t="str">
        <f t="shared" si="7"/>
        <v>Apr</v>
      </c>
      <c r="I202" t="s">
        <v>17</v>
      </c>
      <c r="J202" t="s">
        <v>71</v>
      </c>
      <c r="K202" t="s">
        <v>795</v>
      </c>
      <c r="L202" t="s">
        <v>56</v>
      </c>
      <c r="M202" t="s">
        <v>21</v>
      </c>
      <c r="N202">
        <v>4</v>
      </c>
      <c r="O202" t="s">
        <v>22</v>
      </c>
      <c r="P202">
        <v>1849.05</v>
      </c>
      <c r="Q202" t="s">
        <v>74</v>
      </c>
      <c r="R202" t="s">
        <v>43</v>
      </c>
      <c r="S202">
        <v>226001</v>
      </c>
      <c r="T202" t="s">
        <v>25</v>
      </c>
      <c r="U202" t="s">
        <v>44</v>
      </c>
    </row>
    <row r="203" spans="1:21" x14ac:dyDescent="0.3">
      <c r="A203">
        <v>202</v>
      </c>
      <c r="B203" t="s">
        <v>796</v>
      </c>
      <c r="C203" t="s">
        <v>797</v>
      </c>
      <c r="D203" t="s">
        <v>29</v>
      </c>
      <c r="E203">
        <v>39</v>
      </c>
      <c r="F203" t="str">
        <f t="shared" si="6"/>
        <v>Adult</v>
      </c>
      <c r="G203" t="s">
        <v>798</v>
      </c>
      <c r="H203" t="str">
        <f t="shared" si="7"/>
        <v>Jan</v>
      </c>
      <c r="I203" t="s">
        <v>48</v>
      </c>
      <c r="J203" t="s">
        <v>79</v>
      </c>
      <c r="K203" t="s">
        <v>799</v>
      </c>
      <c r="L203" t="s">
        <v>107</v>
      </c>
      <c r="M203" t="s">
        <v>21</v>
      </c>
      <c r="N203">
        <v>1</v>
      </c>
      <c r="O203" t="s">
        <v>22</v>
      </c>
      <c r="P203">
        <v>4079.47</v>
      </c>
      <c r="Q203" t="s">
        <v>23</v>
      </c>
      <c r="R203" t="s">
        <v>51</v>
      </c>
      <c r="S203">
        <v>400001</v>
      </c>
      <c r="T203" t="s">
        <v>25</v>
      </c>
      <c r="U203" t="s">
        <v>26</v>
      </c>
    </row>
    <row r="204" spans="1:21" x14ac:dyDescent="0.3">
      <c r="A204">
        <v>203</v>
      </c>
      <c r="B204" t="s">
        <v>800</v>
      </c>
      <c r="C204" t="s">
        <v>801</v>
      </c>
      <c r="D204" t="s">
        <v>15</v>
      </c>
      <c r="E204">
        <v>51</v>
      </c>
      <c r="F204" t="str">
        <f t="shared" si="6"/>
        <v>Senior</v>
      </c>
      <c r="G204" t="s">
        <v>802</v>
      </c>
      <c r="H204" t="str">
        <f t="shared" si="7"/>
        <v>Oct</v>
      </c>
      <c r="I204" t="s">
        <v>70</v>
      </c>
      <c r="J204" t="s">
        <v>79</v>
      </c>
      <c r="K204" t="s">
        <v>803</v>
      </c>
      <c r="L204" t="s">
        <v>33</v>
      </c>
      <c r="M204" t="s">
        <v>50</v>
      </c>
      <c r="N204">
        <v>1</v>
      </c>
      <c r="O204" t="s">
        <v>22</v>
      </c>
      <c r="P204">
        <v>1746.96</v>
      </c>
      <c r="Q204" t="s">
        <v>42</v>
      </c>
      <c r="R204" t="s">
        <v>51</v>
      </c>
      <c r="S204">
        <v>302001</v>
      </c>
      <c r="T204" t="s">
        <v>25</v>
      </c>
      <c r="U204" t="s">
        <v>26</v>
      </c>
    </row>
    <row r="205" spans="1:21" x14ac:dyDescent="0.3">
      <c r="A205">
        <v>204</v>
      </c>
      <c r="B205" t="s">
        <v>804</v>
      </c>
      <c r="C205" t="s">
        <v>805</v>
      </c>
      <c r="D205" t="s">
        <v>15</v>
      </c>
      <c r="E205">
        <v>59</v>
      </c>
      <c r="F205" t="str">
        <f t="shared" si="6"/>
        <v>Senior</v>
      </c>
      <c r="G205" t="s">
        <v>806</v>
      </c>
      <c r="H205" t="str">
        <f t="shared" si="7"/>
        <v>Jun</v>
      </c>
      <c r="I205" t="s">
        <v>17</v>
      </c>
      <c r="J205" t="s">
        <v>18</v>
      </c>
      <c r="K205" t="s">
        <v>807</v>
      </c>
      <c r="L205" t="s">
        <v>56</v>
      </c>
      <c r="M205" t="s">
        <v>85</v>
      </c>
      <c r="N205">
        <v>3</v>
      </c>
      <c r="O205" t="s">
        <v>22</v>
      </c>
      <c r="P205">
        <v>336.58</v>
      </c>
      <c r="Q205" t="s">
        <v>74</v>
      </c>
      <c r="R205" t="s">
        <v>51</v>
      </c>
      <c r="S205">
        <v>226001</v>
      </c>
      <c r="T205" t="s">
        <v>25</v>
      </c>
      <c r="U205" t="s">
        <v>26</v>
      </c>
    </row>
    <row r="206" spans="1:21" x14ac:dyDescent="0.3">
      <c r="A206">
        <v>205</v>
      </c>
      <c r="B206" t="s">
        <v>808</v>
      </c>
      <c r="C206" t="s">
        <v>809</v>
      </c>
      <c r="D206" t="s">
        <v>15</v>
      </c>
      <c r="E206">
        <v>19</v>
      </c>
      <c r="F206" t="str">
        <f t="shared" si="6"/>
        <v>Teenager</v>
      </c>
      <c r="G206" t="s">
        <v>791</v>
      </c>
      <c r="H206" t="str">
        <f t="shared" si="7"/>
        <v>Apr</v>
      </c>
      <c r="I206" t="s">
        <v>17</v>
      </c>
      <c r="J206" t="s">
        <v>101</v>
      </c>
      <c r="K206" t="s">
        <v>810</v>
      </c>
      <c r="L206" t="s">
        <v>107</v>
      </c>
      <c r="M206" t="s">
        <v>50</v>
      </c>
      <c r="N206">
        <v>3</v>
      </c>
      <c r="O206" t="s">
        <v>22</v>
      </c>
      <c r="P206">
        <v>3731.28</v>
      </c>
      <c r="Q206" t="s">
        <v>74</v>
      </c>
      <c r="R206" t="s">
        <v>51</v>
      </c>
      <c r="S206">
        <v>226001</v>
      </c>
      <c r="T206" t="s">
        <v>25</v>
      </c>
      <c r="U206" t="s">
        <v>26</v>
      </c>
    </row>
    <row r="207" spans="1:21" x14ac:dyDescent="0.3">
      <c r="A207">
        <v>206</v>
      </c>
      <c r="B207" t="s">
        <v>811</v>
      </c>
      <c r="C207" t="s">
        <v>812</v>
      </c>
      <c r="D207" t="s">
        <v>15</v>
      </c>
      <c r="E207">
        <v>27</v>
      </c>
      <c r="F207" t="str">
        <f t="shared" si="6"/>
        <v>Teenager</v>
      </c>
      <c r="G207" t="s">
        <v>155</v>
      </c>
      <c r="H207" t="str">
        <f t="shared" si="7"/>
        <v>Aug</v>
      </c>
      <c r="I207" t="s">
        <v>70</v>
      </c>
      <c r="J207" t="s">
        <v>71</v>
      </c>
      <c r="K207" t="s">
        <v>813</v>
      </c>
      <c r="L207" t="s">
        <v>62</v>
      </c>
      <c r="M207" t="s">
        <v>21</v>
      </c>
      <c r="N207">
        <v>2</v>
      </c>
      <c r="O207" t="s">
        <v>22</v>
      </c>
      <c r="P207">
        <v>2268.86</v>
      </c>
      <c r="Q207" t="s">
        <v>23</v>
      </c>
      <c r="R207" t="s">
        <v>51</v>
      </c>
      <c r="S207">
        <v>400001</v>
      </c>
      <c r="T207" t="s">
        <v>25</v>
      </c>
      <c r="U207" t="s">
        <v>26</v>
      </c>
    </row>
    <row r="208" spans="1:21" x14ac:dyDescent="0.3">
      <c r="A208">
        <v>207</v>
      </c>
      <c r="B208" t="s">
        <v>814</v>
      </c>
      <c r="C208" t="s">
        <v>815</v>
      </c>
      <c r="D208" t="s">
        <v>15</v>
      </c>
      <c r="E208">
        <v>39</v>
      </c>
      <c r="F208" t="str">
        <f t="shared" si="6"/>
        <v>Adult</v>
      </c>
      <c r="G208" t="s">
        <v>163</v>
      </c>
      <c r="H208" t="str">
        <f t="shared" si="7"/>
        <v>Mar</v>
      </c>
      <c r="I208" t="s">
        <v>48</v>
      </c>
      <c r="J208" t="s">
        <v>40</v>
      </c>
      <c r="K208" t="s">
        <v>816</v>
      </c>
      <c r="L208" t="s">
        <v>73</v>
      </c>
      <c r="M208" t="s">
        <v>50</v>
      </c>
      <c r="N208">
        <v>3</v>
      </c>
      <c r="O208" t="s">
        <v>22</v>
      </c>
      <c r="P208">
        <v>572.70000000000005</v>
      </c>
      <c r="Q208" t="s">
        <v>35</v>
      </c>
      <c r="R208" t="s">
        <v>51</v>
      </c>
      <c r="S208">
        <v>560001</v>
      </c>
      <c r="T208" t="s">
        <v>25</v>
      </c>
      <c r="U208" t="s">
        <v>44</v>
      </c>
    </row>
    <row r="209" spans="1:21" x14ac:dyDescent="0.3">
      <c r="A209">
        <v>208</v>
      </c>
      <c r="B209" t="s">
        <v>817</v>
      </c>
      <c r="C209" t="s">
        <v>818</v>
      </c>
      <c r="D209" t="s">
        <v>15</v>
      </c>
      <c r="E209">
        <v>53</v>
      </c>
      <c r="F209" t="str">
        <f t="shared" si="6"/>
        <v>Senior</v>
      </c>
      <c r="G209" t="s">
        <v>688</v>
      </c>
      <c r="H209" t="str">
        <f t="shared" si="7"/>
        <v>Sep</v>
      </c>
      <c r="I209" t="s">
        <v>70</v>
      </c>
      <c r="J209" t="s">
        <v>101</v>
      </c>
      <c r="K209" t="s">
        <v>819</v>
      </c>
      <c r="L209" t="s">
        <v>73</v>
      </c>
      <c r="M209" t="s">
        <v>21</v>
      </c>
      <c r="N209">
        <v>3</v>
      </c>
      <c r="O209" t="s">
        <v>22</v>
      </c>
      <c r="P209">
        <v>1996.07</v>
      </c>
      <c r="Q209" t="s">
        <v>51</v>
      </c>
      <c r="R209" t="s">
        <v>51</v>
      </c>
      <c r="S209">
        <v>110001</v>
      </c>
      <c r="T209" t="s">
        <v>25</v>
      </c>
      <c r="U209" t="s">
        <v>44</v>
      </c>
    </row>
    <row r="210" spans="1:21" x14ac:dyDescent="0.3">
      <c r="A210">
        <v>209</v>
      </c>
      <c r="B210" t="s">
        <v>820</v>
      </c>
      <c r="C210" t="s">
        <v>821</v>
      </c>
      <c r="D210" t="s">
        <v>15</v>
      </c>
      <c r="E210">
        <v>19</v>
      </c>
      <c r="F210" t="str">
        <f t="shared" si="6"/>
        <v>Teenager</v>
      </c>
      <c r="G210" t="s">
        <v>822</v>
      </c>
      <c r="H210" t="str">
        <f t="shared" si="7"/>
        <v>Jan</v>
      </c>
      <c r="I210" t="s">
        <v>60</v>
      </c>
      <c r="J210" t="s">
        <v>18</v>
      </c>
      <c r="K210" t="s">
        <v>823</v>
      </c>
      <c r="L210" t="s">
        <v>33</v>
      </c>
      <c r="M210" t="s">
        <v>85</v>
      </c>
      <c r="N210">
        <v>1</v>
      </c>
      <c r="O210" t="s">
        <v>22</v>
      </c>
      <c r="P210">
        <v>4902.6099999999997</v>
      </c>
      <c r="Q210" t="s">
        <v>35</v>
      </c>
      <c r="R210" t="s">
        <v>36</v>
      </c>
      <c r="S210">
        <v>560001</v>
      </c>
      <c r="T210" t="s">
        <v>25</v>
      </c>
      <c r="U210" t="s">
        <v>44</v>
      </c>
    </row>
    <row r="211" spans="1:21" x14ac:dyDescent="0.3">
      <c r="A211">
        <v>210</v>
      </c>
      <c r="B211" t="s">
        <v>824</v>
      </c>
      <c r="C211" t="s">
        <v>825</v>
      </c>
      <c r="D211" t="s">
        <v>15</v>
      </c>
      <c r="E211">
        <v>46</v>
      </c>
      <c r="F211" t="str">
        <f t="shared" si="6"/>
        <v>Adult</v>
      </c>
      <c r="G211" t="s">
        <v>539</v>
      </c>
      <c r="H211" t="str">
        <f t="shared" si="7"/>
        <v>May</v>
      </c>
      <c r="I211" t="s">
        <v>48</v>
      </c>
      <c r="J211" t="s">
        <v>79</v>
      </c>
      <c r="K211" t="s">
        <v>826</v>
      </c>
      <c r="L211" t="s">
        <v>56</v>
      </c>
      <c r="M211" t="s">
        <v>85</v>
      </c>
      <c r="N211">
        <v>1</v>
      </c>
      <c r="O211" t="s">
        <v>22</v>
      </c>
      <c r="P211">
        <v>3135.55</v>
      </c>
      <c r="Q211" t="s">
        <v>42</v>
      </c>
      <c r="R211" t="s">
        <v>43</v>
      </c>
      <c r="S211">
        <v>302001</v>
      </c>
      <c r="T211" t="s">
        <v>25</v>
      </c>
      <c r="U211" t="s">
        <v>44</v>
      </c>
    </row>
    <row r="212" spans="1:21" x14ac:dyDescent="0.3">
      <c r="A212">
        <v>211</v>
      </c>
      <c r="B212" t="s">
        <v>827</v>
      </c>
      <c r="C212" t="s">
        <v>828</v>
      </c>
      <c r="D212" t="s">
        <v>29</v>
      </c>
      <c r="E212">
        <v>29</v>
      </c>
      <c r="F212" t="str">
        <f t="shared" si="6"/>
        <v>Teenager</v>
      </c>
      <c r="G212" t="s">
        <v>350</v>
      </c>
      <c r="H212" t="str">
        <f t="shared" si="7"/>
        <v>Nov</v>
      </c>
      <c r="I212" t="s">
        <v>48</v>
      </c>
      <c r="J212" t="s">
        <v>18</v>
      </c>
      <c r="K212" t="s">
        <v>829</v>
      </c>
      <c r="L212" t="s">
        <v>33</v>
      </c>
      <c r="M212" t="s">
        <v>85</v>
      </c>
      <c r="N212">
        <v>1</v>
      </c>
      <c r="O212" t="s">
        <v>22</v>
      </c>
      <c r="P212">
        <v>2314.96</v>
      </c>
      <c r="Q212" t="s">
        <v>23</v>
      </c>
      <c r="R212" t="s">
        <v>24</v>
      </c>
      <c r="S212">
        <v>400001</v>
      </c>
      <c r="T212" t="s">
        <v>25</v>
      </c>
      <c r="U212" t="s">
        <v>44</v>
      </c>
    </row>
    <row r="213" spans="1:21" x14ac:dyDescent="0.3">
      <c r="A213">
        <v>212</v>
      </c>
      <c r="B213" t="s">
        <v>830</v>
      </c>
      <c r="C213" t="s">
        <v>831</v>
      </c>
      <c r="D213" t="s">
        <v>15</v>
      </c>
      <c r="E213">
        <v>60</v>
      </c>
      <c r="F213" t="str">
        <f t="shared" si="6"/>
        <v>Senior</v>
      </c>
      <c r="G213" t="s">
        <v>457</v>
      </c>
      <c r="H213" t="str">
        <f t="shared" si="7"/>
        <v>Oct</v>
      </c>
      <c r="I213" t="s">
        <v>17</v>
      </c>
      <c r="J213" t="s">
        <v>18</v>
      </c>
      <c r="K213" t="s">
        <v>832</v>
      </c>
      <c r="L213" t="s">
        <v>73</v>
      </c>
      <c r="M213" t="s">
        <v>85</v>
      </c>
      <c r="N213">
        <v>3</v>
      </c>
      <c r="O213" t="s">
        <v>22</v>
      </c>
      <c r="P213">
        <v>1314.33</v>
      </c>
      <c r="Q213" t="s">
        <v>23</v>
      </c>
      <c r="R213" t="s">
        <v>24</v>
      </c>
      <c r="S213">
        <v>400001</v>
      </c>
      <c r="T213" t="s">
        <v>25</v>
      </c>
      <c r="U213" t="s">
        <v>44</v>
      </c>
    </row>
    <row r="214" spans="1:21" x14ac:dyDescent="0.3">
      <c r="A214">
        <v>213</v>
      </c>
      <c r="B214" t="s">
        <v>833</v>
      </c>
      <c r="C214" t="s">
        <v>834</v>
      </c>
      <c r="D214" t="s">
        <v>15</v>
      </c>
      <c r="E214">
        <v>27</v>
      </c>
      <c r="F214" t="str">
        <f t="shared" si="6"/>
        <v>Teenager</v>
      </c>
      <c r="G214" t="s">
        <v>151</v>
      </c>
      <c r="H214" t="str">
        <f t="shared" si="7"/>
        <v>Jul</v>
      </c>
      <c r="I214" t="s">
        <v>17</v>
      </c>
      <c r="J214" t="s">
        <v>31</v>
      </c>
      <c r="K214" t="s">
        <v>835</v>
      </c>
      <c r="L214" t="s">
        <v>33</v>
      </c>
      <c r="M214" t="s">
        <v>85</v>
      </c>
      <c r="N214">
        <v>4</v>
      </c>
      <c r="O214" t="s">
        <v>22</v>
      </c>
      <c r="P214">
        <v>387.17</v>
      </c>
      <c r="Q214" t="s">
        <v>35</v>
      </c>
      <c r="R214" t="s">
        <v>36</v>
      </c>
      <c r="S214">
        <v>560001</v>
      </c>
      <c r="T214" t="s">
        <v>25</v>
      </c>
      <c r="U214" t="s">
        <v>44</v>
      </c>
    </row>
    <row r="215" spans="1:21" x14ac:dyDescent="0.3">
      <c r="A215">
        <v>214</v>
      </c>
      <c r="B215" t="s">
        <v>836</v>
      </c>
      <c r="C215" t="s">
        <v>837</v>
      </c>
      <c r="D215" t="s">
        <v>29</v>
      </c>
      <c r="E215">
        <v>55</v>
      </c>
      <c r="F215" t="str">
        <f t="shared" si="6"/>
        <v>Senior</v>
      </c>
      <c r="G215" t="s">
        <v>838</v>
      </c>
      <c r="H215" t="str">
        <f t="shared" si="7"/>
        <v>Apr</v>
      </c>
      <c r="I215" t="s">
        <v>17</v>
      </c>
      <c r="J215" t="s">
        <v>31</v>
      </c>
      <c r="K215" t="s">
        <v>839</v>
      </c>
      <c r="L215" t="s">
        <v>62</v>
      </c>
      <c r="M215" t="s">
        <v>50</v>
      </c>
      <c r="N215">
        <v>5</v>
      </c>
      <c r="O215" t="s">
        <v>22</v>
      </c>
      <c r="P215">
        <v>1301.5999999999999</v>
      </c>
      <c r="Q215" t="s">
        <v>51</v>
      </c>
      <c r="R215" t="s">
        <v>51</v>
      </c>
      <c r="S215">
        <v>110001</v>
      </c>
      <c r="T215" t="s">
        <v>25</v>
      </c>
      <c r="U215" t="s">
        <v>44</v>
      </c>
    </row>
    <row r="216" spans="1:21" x14ac:dyDescent="0.3">
      <c r="A216">
        <v>215</v>
      </c>
      <c r="B216" t="s">
        <v>840</v>
      </c>
      <c r="C216" t="s">
        <v>841</v>
      </c>
      <c r="D216" t="s">
        <v>15</v>
      </c>
      <c r="E216">
        <v>58</v>
      </c>
      <c r="F216" t="str">
        <f t="shared" si="6"/>
        <v>Senior</v>
      </c>
      <c r="G216" t="s">
        <v>842</v>
      </c>
      <c r="H216" t="str">
        <f t="shared" si="7"/>
        <v>Oct</v>
      </c>
      <c r="I216" t="s">
        <v>17</v>
      </c>
      <c r="J216" t="s">
        <v>79</v>
      </c>
      <c r="K216" t="s">
        <v>843</v>
      </c>
      <c r="L216" t="s">
        <v>20</v>
      </c>
      <c r="M216" t="s">
        <v>34</v>
      </c>
      <c r="N216">
        <v>4</v>
      </c>
      <c r="O216" t="s">
        <v>22</v>
      </c>
      <c r="P216">
        <v>1984.07</v>
      </c>
      <c r="Q216" t="s">
        <v>51</v>
      </c>
      <c r="R216" t="s">
        <v>51</v>
      </c>
      <c r="S216">
        <v>110001</v>
      </c>
      <c r="T216" t="s">
        <v>25</v>
      </c>
      <c r="U216" t="s">
        <v>26</v>
      </c>
    </row>
    <row r="217" spans="1:21" x14ac:dyDescent="0.3">
      <c r="A217">
        <v>216</v>
      </c>
      <c r="B217" t="s">
        <v>844</v>
      </c>
      <c r="C217" t="s">
        <v>845</v>
      </c>
      <c r="D217" t="s">
        <v>15</v>
      </c>
      <c r="E217">
        <v>60</v>
      </c>
      <c r="F217" t="str">
        <f t="shared" si="6"/>
        <v>Senior</v>
      </c>
      <c r="G217" t="s">
        <v>300</v>
      </c>
      <c r="H217" t="str">
        <f t="shared" si="7"/>
        <v>Jan</v>
      </c>
      <c r="I217" t="s">
        <v>70</v>
      </c>
      <c r="J217" t="s">
        <v>71</v>
      </c>
      <c r="K217" t="s">
        <v>846</v>
      </c>
      <c r="L217" t="s">
        <v>107</v>
      </c>
      <c r="M217" t="s">
        <v>21</v>
      </c>
      <c r="N217">
        <v>3</v>
      </c>
      <c r="O217" t="s">
        <v>22</v>
      </c>
      <c r="P217">
        <v>1812.17</v>
      </c>
      <c r="Q217" t="s">
        <v>23</v>
      </c>
      <c r="R217" t="s">
        <v>24</v>
      </c>
      <c r="S217">
        <v>400001</v>
      </c>
      <c r="T217" t="s">
        <v>25</v>
      </c>
      <c r="U217" t="s">
        <v>44</v>
      </c>
    </row>
    <row r="218" spans="1:21" x14ac:dyDescent="0.3">
      <c r="A218">
        <v>217</v>
      </c>
      <c r="B218" t="s">
        <v>847</v>
      </c>
      <c r="C218" t="s">
        <v>848</v>
      </c>
      <c r="D218" t="s">
        <v>15</v>
      </c>
      <c r="E218">
        <v>29</v>
      </c>
      <c r="F218" t="str">
        <f t="shared" si="6"/>
        <v>Teenager</v>
      </c>
      <c r="G218" t="s">
        <v>849</v>
      </c>
      <c r="H218" t="str">
        <f t="shared" si="7"/>
        <v>May</v>
      </c>
      <c r="I218" t="s">
        <v>70</v>
      </c>
      <c r="J218" t="s">
        <v>31</v>
      </c>
      <c r="K218" t="s">
        <v>850</v>
      </c>
      <c r="L218" t="s">
        <v>33</v>
      </c>
      <c r="M218" t="s">
        <v>85</v>
      </c>
      <c r="N218">
        <v>3</v>
      </c>
      <c r="O218" t="s">
        <v>22</v>
      </c>
      <c r="P218">
        <v>4453.72</v>
      </c>
      <c r="Q218" t="s">
        <v>42</v>
      </c>
      <c r="R218" t="s">
        <v>43</v>
      </c>
      <c r="S218">
        <v>302001</v>
      </c>
      <c r="T218" t="s">
        <v>25</v>
      </c>
      <c r="U218" t="s">
        <v>44</v>
      </c>
    </row>
    <row r="219" spans="1:21" x14ac:dyDescent="0.3">
      <c r="A219">
        <v>218</v>
      </c>
      <c r="B219" t="s">
        <v>851</v>
      </c>
      <c r="C219" t="s">
        <v>852</v>
      </c>
      <c r="D219" t="s">
        <v>15</v>
      </c>
      <c r="E219">
        <v>23</v>
      </c>
      <c r="F219" t="str">
        <f t="shared" si="6"/>
        <v>Teenager</v>
      </c>
      <c r="G219" t="s">
        <v>853</v>
      </c>
      <c r="H219" t="str">
        <f t="shared" si="7"/>
        <v>Jan</v>
      </c>
      <c r="I219" t="s">
        <v>70</v>
      </c>
      <c r="J219" t="s">
        <v>31</v>
      </c>
      <c r="K219" t="s">
        <v>854</v>
      </c>
      <c r="L219" t="s">
        <v>33</v>
      </c>
      <c r="M219" t="s">
        <v>50</v>
      </c>
      <c r="N219">
        <v>3</v>
      </c>
      <c r="O219" t="s">
        <v>22</v>
      </c>
      <c r="P219">
        <v>1420.48</v>
      </c>
      <c r="Q219" t="s">
        <v>51</v>
      </c>
      <c r="R219" t="s">
        <v>51</v>
      </c>
      <c r="S219">
        <v>110001</v>
      </c>
      <c r="T219" t="s">
        <v>25</v>
      </c>
      <c r="U219" t="s">
        <v>44</v>
      </c>
    </row>
    <row r="220" spans="1:21" x14ac:dyDescent="0.3">
      <c r="A220">
        <v>219</v>
      </c>
      <c r="B220" t="s">
        <v>855</v>
      </c>
      <c r="C220" t="s">
        <v>856</v>
      </c>
      <c r="D220" t="s">
        <v>15</v>
      </c>
      <c r="E220">
        <v>40</v>
      </c>
      <c r="F220" t="str">
        <f t="shared" si="6"/>
        <v>Adult</v>
      </c>
      <c r="G220" t="s">
        <v>857</v>
      </c>
      <c r="H220" t="str">
        <f t="shared" si="7"/>
        <v>May</v>
      </c>
      <c r="I220" t="s">
        <v>48</v>
      </c>
      <c r="J220" t="s">
        <v>31</v>
      </c>
      <c r="K220" t="s">
        <v>858</v>
      </c>
      <c r="L220" t="s">
        <v>73</v>
      </c>
      <c r="M220" t="s">
        <v>21</v>
      </c>
      <c r="N220">
        <v>4</v>
      </c>
      <c r="O220" t="s">
        <v>22</v>
      </c>
      <c r="P220">
        <v>1709.18</v>
      </c>
      <c r="Q220" t="s">
        <v>35</v>
      </c>
      <c r="R220" t="s">
        <v>36</v>
      </c>
      <c r="S220">
        <v>560001</v>
      </c>
      <c r="T220" t="s">
        <v>25</v>
      </c>
      <c r="U220" t="s">
        <v>26</v>
      </c>
    </row>
    <row r="221" spans="1:21" x14ac:dyDescent="0.3">
      <c r="A221">
        <v>220</v>
      </c>
      <c r="B221" t="s">
        <v>859</v>
      </c>
      <c r="C221" t="s">
        <v>860</v>
      </c>
      <c r="D221" t="s">
        <v>15</v>
      </c>
      <c r="E221">
        <v>60</v>
      </c>
      <c r="F221" t="str">
        <f t="shared" si="6"/>
        <v>Senior</v>
      </c>
      <c r="G221" t="s">
        <v>408</v>
      </c>
      <c r="H221" t="str">
        <f t="shared" si="7"/>
        <v>Mar</v>
      </c>
      <c r="I221" t="s">
        <v>70</v>
      </c>
      <c r="J221" t="s">
        <v>40</v>
      </c>
      <c r="K221" t="s">
        <v>861</v>
      </c>
      <c r="L221" t="s">
        <v>62</v>
      </c>
      <c r="M221" t="s">
        <v>50</v>
      </c>
      <c r="N221">
        <v>5</v>
      </c>
      <c r="O221" t="s">
        <v>22</v>
      </c>
      <c r="P221">
        <v>4344.5200000000004</v>
      </c>
      <c r="Q221" t="s">
        <v>74</v>
      </c>
      <c r="R221" t="s">
        <v>75</v>
      </c>
      <c r="S221">
        <v>226001</v>
      </c>
      <c r="T221" t="s">
        <v>25</v>
      </c>
      <c r="U221" t="s">
        <v>44</v>
      </c>
    </row>
    <row r="222" spans="1:21" x14ac:dyDescent="0.3">
      <c r="A222">
        <v>221</v>
      </c>
      <c r="B222" t="s">
        <v>862</v>
      </c>
      <c r="C222" t="s">
        <v>863</v>
      </c>
      <c r="D222" t="s">
        <v>29</v>
      </c>
      <c r="E222">
        <v>37</v>
      </c>
      <c r="F222" t="str">
        <f t="shared" si="6"/>
        <v>Adult</v>
      </c>
      <c r="G222" t="s">
        <v>864</v>
      </c>
      <c r="H222" t="str">
        <f t="shared" si="7"/>
        <v>May</v>
      </c>
      <c r="I222" t="s">
        <v>17</v>
      </c>
      <c r="J222" t="s">
        <v>40</v>
      </c>
      <c r="K222" t="s">
        <v>865</v>
      </c>
      <c r="L222" t="s">
        <v>20</v>
      </c>
      <c r="M222" t="s">
        <v>21</v>
      </c>
      <c r="N222">
        <v>4</v>
      </c>
      <c r="O222" t="s">
        <v>22</v>
      </c>
      <c r="P222">
        <v>1220.69</v>
      </c>
      <c r="Q222" t="s">
        <v>51</v>
      </c>
      <c r="R222" t="s">
        <v>51</v>
      </c>
      <c r="S222">
        <v>110001</v>
      </c>
      <c r="T222" t="s">
        <v>25</v>
      </c>
      <c r="U222" t="s">
        <v>26</v>
      </c>
    </row>
    <row r="223" spans="1:21" x14ac:dyDescent="0.3">
      <c r="A223">
        <v>222</v>
      </c>
      <c r="B223" t="s">
        <v>866</v>
      </c>
      <c r="C223" t="s">
        <v>867</v>
      </c>
      <c r="D223" t="s">
        <v>29</v>
      </c>
      <c r="E223">
        <v>39</v>
      </c>
      <c r="F223" t="str">
        <f t="shared" si="6"/>
        <v>Adult</v>
      </c>
      <c r="G223" t="s">
        <v>167</v>
      </c>
      <c r="H223" t="str">
        <f t="shared" si="7"/>
        <v>Jan</v>
      </c>
      <c r="I223" t="s">
        <v>60</v>
      </c>
      <c r="J223" t="s">
        <v>40</v>
      </c>
      <c r="K223" t="s">
        <v>868</v>
      </c>
      <c r="L223" t="s">
        <v>20</v>
      </c>
      <c r="M223" t="s">
        <v>21</v>
      </c>
      <c r="N223">
        <v>2</v>
      </c>
      <c r="O223" t="s">
        <v>22</v>
      </c>
      <c r="P223">
        <v>1884.84</v>
      </c>
      <c r="Q223" t="s">
        <v>23</v>
      </c>
      <c r="R223" t="s">
        <v>24</v>
      </c>
      <c r="S223">
        <v>400001</v>
      </c>
      <c r="T223" t="s">
        <v>25</v>
      </c>
      <c r="U223" t="s">
        <v>44</v>
      </c>
    </row>
    <row r="224" spans="1:21" x14ac:dyDescent="0.3">
      <c r="A224">
        <v>223</v>
      </c>
      <c r="B224" t="s">
        <v>869</v>
      </c>
      <c r="C224" t="s">
        <v>870</v>
      </c>
      <c r="D224" t="s">
        <v>15</v>
      </c>
      <c r="E224">
        <v>60</v>
      </c>
      <c r="F224" t="str">
        <f t="shared" si="6"/>
        <v>Senior</v>
      </c>
      <c r="G224" t="s">
        <v>871</v>
      </c>
      <c r="H224" t="str">
        <f t="shared" si="7"/>
        <v>May</v>
      </c>
      <c r="I224" t="s">
        <v>48</v>
      </c>
      <c r="J224" t="s">
        <v>40</v>
      </c>
      <c r="K224" t="s">
        <v>872</v>
      </c>
      <c r="L224" t="s">
        <v>107</v>
      </c>
      <c r="M224" t="s">
        <v>85</v>
      </c>
      <c r="N224">
        <v>2</v>
      </c>
      <c r="O224" t="s">
        <v>22</v>
      </c>
      <c r="P224">
        <v>487.14</v>
      </c>
      <c r="Q224" t="s">
        <v>51</v>
      </c>
      <c r="R224" t="s">
        <v>51</v>
      </c>
      <c r="S224">
        <v>110001</v>
      </c>
      <c r="T224" t="s">
        <v>25</v>
      </c>
      <c r="U224" t="s">
        <v>44</v>
      </c>
    </row>
    <row r="225" spans="1:21" x14ac:dyDescent="0.3">
      <c r="A225">
        <v>224</v>
      </c>
      <c r="B225" t="s">
        <v>873</v>
      </c>
      <c r="C225" t="s">
        <v>874</v>
      </c>
      <c r="D225" t="s">
        <v>29</v>
      </c>
      <c r="E225">
        <v>46</v>
      </c>
      <c r="F225" t="str">
        <f t="shared" si="6"/>
        <v>Adult</v>
      </c>
      <c r="G225" t="s">
        <v>419</v>
      </c>
      <c r="H225" t="str">
        <f t="shared" si="7"/>
        <v>Jun</v>
      </c>
      <c r="I225" t="s">
        <v>60</v>
      </c>
      <c r="J225" t="s">
        <v>40</v>
      </c>
      <c r="K225" t="s">
        <v>875</v>
      </c>
      <c r="L225" t="s">
        <v>33</v>
      </c>
      <c r="M225" t="s">
        <v>85</v>
      </c>
      <c r="N225">
        <v>2</v>
      </c>
      <c r="O225" t="s">
        <v>22</v>
      </c>
      <c r="P225">
        <v>3600.32</v>
      </c>
      <c r="Q225" t="s">
        <v>23</v>
      </c>
      <c r="R225" t="s">
        <v>24</v>
      </c>
      <c r="S225">
        <v>400001</v>
      </c>
      <c r="T225" t="s">
        <v>25</v>
      </c>
      <c r="U225" t="s">
        <v>44</v>
      </c>
    </row>
    <row r="226" spans="1:21" x14ac:dyDescent="0.3">
      <c r="A226">
        <v>225</v>
      </c>
      <c r="B226" t="s">
        <v>876</v>
      </c>
      <c r="C226" t="s">
        <v>877</v>
      </c>
      <c r="D226" t="s">
        <v>29</v>
      </c>
      <c r="E226">
        <v>23</v>
      </c>
      <c r="F226" t="str">
        <f t="shared" si="6"/>
        <v>Teenager</v>
      </c>
      <c r="G226" t="s">
        <v>878</v>
      </c>
      <c r="H226" t="str">
        <f t="shared" si="7"/>
        <v>Feb</v>
      </c>
      <c r="I226" t="s">
        <v>48</v>
      </c>
      <c r="J226" t="s">
        <v>40</v>
      </c>
      <c r="K226" t="s">
        <v>879</v>
      </c>
      <c r="L226" t="s">
        <v>62</v>
      </c>
      <c r="M226" t="s">
        <v>21</v>
      </c>
      <c r="N226">
        <v>3</v>
      </c>
      <c r="O226" t="s">
        <v>22</v>
      </c>
      <c r="P226">
        <v>4323.8900000000003</v>
      </c>
      <c r="Q226" t="s">
        <v>35</v>
      </c>
      <c r="R226" t="s">
        <v>36</v>
      </c>
      <c r="S226">
        <v>560001</v>
      </c>
      <c r="T226" t="s">
        <v>25</v>
      </c>
      <c r="U226" t="s">
        <v>44</v>
      </c>
    </row>
    <row r="227" spans="1:21" x14ac:dyDescent="0.3">
      <c r="A227">
        <v>226</v>
      </c>
      <c r="B227" t="s">
        <v>880</v>
      </c>
      <c r="C227" t="s">
        <v>881</v>
      </c>
      <c r="D227" t="s">
        <v>15</v>
      </c>
      <c r="E227">
        <v>48</v>
      </c>
      <c r="F227" t="str">
        <f t="shared" si="6"/>
        <v>Adult</v>
      </c>
      <c r="G227" t="s">
        <v>461</v>
      </c>
      <c r="H227" t="str">
        <f t="shared" si="7"/>
        <v>Jun</v>
      </c>
      <c r="I227" t="s">
        <v>60</v>
      </c>
      <c r="J227" t="s">
        <v>40</v>
      </c>
      <c r="K227" t="s">
        <v>882</v>
      </c>
      <c r="L227" t="s">
        <v>56</v>
      </c>
      <c r="M227" t="s">
        <v>21</v>
      </c>
      <c r="N227">
        <v>1</v>
      </c>
      <c r="O227" t="s">
        <v>22</v>
      </c>
      <c r="P227">
        <v>4644.09</v>
      </c>
      <c r="Q227" t="s">
        <v>23</v>
      </c>
      <c r="R227" t="s">
        <v>24</v>
      </c>
      <c r="S227">
        <v>400001</v>
      </c>
      <c r="T227" t="s">
        <v>25</v>
      </c>
      <c r="U227" t="s">
        <v>44</v>
      </c>
    </row>
    <row r="228" spans="1:21" x14ac:dyDescent="0.3">
      <c r="A228">
        <v>227</v>
      </c>
      <c r="B228" t="s">
        <v>883</v>
      </c>
      <c r="C228" t="s">
        <v>884</v>
      </c>
      <c r="D228" t="s">
        <v>29</v>
      </c>
      <c r="E228">
        <v>45</v>
      </c>
      <c r="F228" t="str">
        <f t="shared" si="6"/>
        <v>Adult</v>
      </c>
      <c r="G228" t="s">
        <v>885</v>
      </c>
      <c r="H228" t="str">
        <f t="shared" si="7"/>
        <v>Nov</v>
      </c>
      <c r="I228" t="s">
        <v>60</v>
      </c>
      <c r="J228" t="s">
        <v>40</v>
      </c>
      <c r="K228" t="s">
        <v>886</v>
      </c>
      <c r="L228" t="s">
        <v>107</v>
      </c>
      <c r="M228" t="s">
        <v>85</v>
      </c>
      <c r="N228">
        <v>2</v>
      </c>
      <c r="O228" t="s">
        <v>22</v>
      </c>
      <c r="P228">
        <v>4364.3999999999996</v>
      </c>
      <c r="Q228" t="s">
        <v>51</v>
      </c>
      <c r="R228" t="s">
        <v>51</v>
      </c>
      <c r="S228">
        <v>110001</v>
      </c>
      <c r="T228" t="s">
        <v>25</v>
      </c>
      <c r="U228" t="s">
        <v>26</v>
      </c>
    </row>
    <row r="229" spans="1:21" x14ac:dyDescent="0.3">
      <c r="A229">
        <v>228</v>
      </c>
      <c r="B229" t="s">
        <v>887</v>
      </c>
      <c r="C229" t="s">
        <v>888</v>
      </c>
      <c r="D229" t="s">
        <v>15</v>
      </c>
      <c r="E229">
        <v>24</v>
      </c>
      <c r="F229" t="str">
        <f t="shared" si="6"/>
        <v>Teenager</v>
      </c>
      <c r="G229" t="s">
        <v>889</v>
      </c>
      <c r="H229" t="str">
        <f t="shared" si="7"/>
        <v>Jan</v>
      </c>
      <c r="I229" t="s">
        <v>60</v>
      </c>
      <c r="J229" t="s">
        <v>40</v>
      </c>
      <c r="K229" t="s">
        <v>890</v>
      </c>
      <c r="L229" t="s">
        <v>20</v>
      </c>
      <c r="M229" t="s">
        <v>21</v>
      </c>
      <c r="N229">
        <v>4</v>
      </c>
      <c r="O229" t="s">
        <v>22</v>
      </c>
      <c r="P229">
        <v>3202.15</v>
      </c>
      <c r="Q229" t="s">
        <v>74</v>
      </c>
      <c r="R229" t="s">
        <v>75</v>
      </c>
      <c r="S229">
        <v>226001</v>
      </c>
      <c r="T229" t="s">
        <v>25</v>
      </c>
      <c r="U229" t="s">
        <v>44</v>
      </c>
    </row>
    <row r="230" spans="1:21" x14ac:dyDescent="0.3">
      <c r="A230">
        <v>229</v>
      </c>
      <c r="B230" t="s">
        <v>891</v>
      </c>
      <c r="C230" t="s">
        <v>892</v>
      </c>
      <c r="D230" t="s">
        <v>15</v>
      </c>
      <c r="E230">
        <v>44</v>
      </c>
      <c r="F230" t="str">
        <f t="shared" si="6"/>
        <v>Adult</v>
      </c>
      <c r="G230" t="s">
        <v>147</v>
      </c>
      <c r="H230" t="str">
        <f t="shared" si="7"/>
        <v>Oct</v>
      </c>
      <c r="I230" t="s">
        <v>48</v>
      </c>
      <c r="J230" t="s">
        <v>40</v>
      </c>
      <c r="K230" t="s">
        <v>893</v>
      </c>
      <c r="L230" t="s">
        <v>33</v>
      </c>
      <c r="M230" t="s">
        <v>85</v>
      </c>
      <c r="N230">
        <v>4</v>
      </c>
      <c r="O230" t="s">
        <v>22</v>
      </c>
      <c r="P230">
        <v>1649.64</v>
      </c>
      <c r="Q230" t="s">
        <v>35</v>
      </c>
      <c r="R230" t="s">
        <v>36</v>
      </c>
      <c r="S230">
        <v>560001</v>
      </c>
      <c r="T230" t="s">
        <v>25</v>
      </c>
      <c r="U230" t="s">
        <v>26</v>
      </c>
    </row>
    <row r="231" spans="1:21" x14ac:dyDescent="0.3">
      <c r="A231">
        <v>230</v>
      </c>
      <c r="B231" t="s">
        <v>894</v>
      </c>
      <c r="C231" t="s">
        <v>895</v>
      </c>
      <c r="D231" t="s">
        <v>29</v>
      </c>
      <c r="E231">
        <v>48</v>
      </c>
      <c r="F231" t="str">
        <f t="shared" si="6"/>
        <v>Adult</v>
      </c>
      <c r="G231" t="s">
        <v>688</v>
      </c>
      <c r="H231" t="str">
        <f t="shared" si="7"/>
        <v>Sep</v>
      </c>
      <c r="I231" t="s">
        <v>48</v>
      </c>
      <c r="J231" t="s">
        <v>40</v>
      </c>
      <c r="K231" t="s">
        <v>896</v>
      </c>
      <c r="L231" t="s">
        <v>20</v>
      </c>
      <c r="M231" t="s">
        <v>34</v>
      </c>
      <c r="N231">
        <v>5</v>
      </c>
      <c r="O231" t="s">
        <v>22</v>
      </c>
      <c r="P231">
        <v>3584.48</v>
      </c>
      <c r="Q231" t="s">
        <v>42</v>
      </c>
      <c r="R231" t="s">
        <v>43</v>
      </c>
      <c r="S231">
        <v>302001</v>
      </c>
      <c r="T231" t="s">
        <v>25</v>
      </c>
      <c r="U231" t="s">
        <v>44</v>
      </c>
    </row>
    <row r="232" spans="1:21" x14ac:dyDescent="0.3">
      <c r="A232">
        <v>231</v>
      </c>
      <c r="B232" t="s">
        <v>897</v>
      </c>
      <c r="C232" t="s">
        <v>898</v>
      </c>
      <c r="D232" t="s">
        <v>15</v>
      </c>
      <c r="E232">
        <v>30</v>
      </c>
      <c r="F232" t="str">
        <f t="shared" si="6"/>
        <v>Adult</v>
      </c>
      <c r="G232" t="s">
        <v>230</v>
      </c>
      <c r="H232" t="str">
        <f t="shared" si="7"/>
        <v>Jan</v>
      </c>
      <c r="I232" t="s">
        <v>60</v>
      </c>
      <c r="J232" t="s">
        <v>40</v>
      </c>
      <c r="K232" t="s">
        <v>899</v>
      </c>
      <c r="L232" t="s">
        <v>20</v>
      </c>
      <c r="M232" t="s">
        <v>21</v>
      </c>
      <c r="N232">
        <v>1</v>
      </c>
      <c r="O232" t="s">
        <v>22</v>
      </c>
      <c r="P232">
        <v>3678.11</v>
      </c>
      <c r="Q232" t="s">
        <v>23</v>
      </c>
      <c r="R232" t="s">
        <v>24</v>
      </c>
      <c r="S232">
        <v>400001</v>
      </c>
      <c r="T232" t="s">
        <v>25</v>
      </c>
      <c r="U232" t="s">
        <v>44</v>
      </c>
    </row>
    <row r="233" spans="1:21" x14ac:dyDescent="0.3">
      <c r="A233">
        <v>232</v>
      </c>
      <c r="B233" t="s">
        <v>900</v>
      </c>
      <c r="C233" t="s">
        <v>901</v>
      </c>
      <c r="D233" t="s">
        <v>15</v>
      </c>
      <c r="E233">
        <v>54</v>
      </c>
      <c r="F233" t="str">
        <f t="shared" si="6"/>
        <v>Senior</v>
      </c>
      <c r="G233" t="s">
        <v>902</v>
      </c>
      <c r="H233" t="str">
        <f t="shared" si="7"/>
        <v>Dec</v>
      </c>
      <c r="I233" t="s">
        <v>60</v>
      </c>
      <c r="J233" t="s">
        <v>40</v>
      </c>
      <c r="K233" t="s">
        <v>903</v>
      </c>
      <c r="L233" t="s">
        <v>20</v>
      </c>
      <c r="M233" t="s">
        <v>34</v>
      </c>
      <c r="N233">
        <v>2</v>
      </c>
      <c r="O233" t="s">
        <v>22</v>
      </c>
      <c r="P233">
        <v>4427.7299999999996</v>
      </c>
      <c r="Q233" t="s">
        <v>74</v>
      </c>
      <c r="R233" t="s">
        <v>75</v>
      </c>
      <c r="S233">
        <v>226001</v>
      </c>
      <c r="T233" t="s">
        <v>25</v>
      </c>
      <c r="U233" t="s">
        <v>26</v>
      </c>
    </row>
    <row r="234" spans="1:21" x14ac:dyDescent="0.3">
      <c r="A234">
        <v>233</v>
      </c>
      <c r="B234" t="s">
        <v>904</v>
      </c>
      <c r="C234" t="s">
        <v>905</v>
      </c>
      <c r="D234" t="s">
        <v>15</v>
      </c>
      <c r="E234">
        <v>19</v>
      </c>
      <c r="F234" t="str">
        <f t="shared" si="6"/>
        <v>Teenager</v>
      </c>
      <c r="G234" t="s">
        <v>688</v>
      </c>
      <c r="H234" t="str">
        <f t="shared" si="7"/>
        <v>Sep</v>
      </c>
      <c r="I234" t="s">
        <v>70</v>
      </c>
      <c r="J234" t="s">
        <v>101</v>
      </c>
      <c r="K234" t="s">
        <v>906</v>
      </c>
      <c r="L234" t="s">
        <v>73</v>
      </c>
      <c r="M234" t="s">
        <v>34</v>
      </c>
      <c r="N234">
        <v>4</v>
      </c>
      <c r="O234" t="s">
        <v>22</v>
      </c>
      <c r="P234">
        <v>4874.42</v>
      </c>
      <c r="Q234" t="s">
        <v>23</v>
      </c>
      <c r="R234" t="s">
        <v>24</v>
      </c>
      <c r="S234">
        <v>400001</v>
      </c>
      <c r="T234" t="s">
        <v>25</v>
      </c>
      <c r="U234" t="s">
        <v>26</v>
      </c>
    </row>
    <row r="235" spans="1:21" x14ac:dyDescent="0.3">
      <c r="A235">
        <v>234</v>
      </c>
      <c r="B235" t="s">
        <v>907</v>
      </c>
      <c r="C235" t="s">
        <v>908</v>
      </c>
      <c r="D235" t="s">
        <v>15</v>
      </c>
      <c r="E235">
        <v>50</v>
      </c>
      <c r="F235" t="str">
        <f t="shared" si="6"/>
        <v>Senior</v>
      </c>
      <c r="G235" t="s">
        <v>909</v>
      </c>
      <c r="H235" t="str">
        <f t="shared" si="7"/>
        <v>Jun</v>
      </c>
      <c r="I235" t="s">
        <v>60</v>
      </c>
      <c r="J235" t="s">
        <v>101</v>
      </c>
      <c r="K235" t="s">
        <v>910</v>
      </c>
      <c r="L235" t="s">
        <v>73</v>
      </c>
      <c r="M235" t="s">
        <v>34</v>
      </c>
      <c r="N235">
        <v>5</v>
      </c>
      <c r="O235" t="s">
        <v>22</v>
      </c>
      <c r="P235">
        <v>476.75</v>
      </c>
      <c r="Q235" t="s">
        <v>42</v>
      </c>
      <c r="R235" t="s">
        <v>43</v>
      </c>
      <c r="S235">
        <v>302001</v>
      </c>
      <c r="T235" t="s">
        <v>25</v>
      </c>
      <c r="U235" t="s">
        <v>44</v>
      </c>
    </row>
    <row r="236" spans="1:21" x14ac:dyDescent="0.3">
      <c r="A236">
        <v>235</v>
      </c>
      <c r="B236" t="s">
        <v>911</v>
      </c>
      <c r="C236" t="s">
        <v>912</v>
      </c>
      <c r="D236" t="s">
        <v>15</v>
      </c>
      <c r="E236">
        <v>34</v>
      </c>
      <c r="F236" t="str">
        <f t="shared" si="6"/>
        <v>Adult</v>
      </c>
      <c r="G236" t="s">
        <v>913</v>
      </c>
      <c r="H236" t="str">
        <f t="shared" si="7"/>
        <v>Jul</v>
      </c>
      <c r="I236" t="s">
        <v>70</v>
      </c>
      <c r="J236" t="s">
        <v>40</v>
      </c>
      <c r="K236" t="s">
        <v>914</v>
      </c>
      <c r="L236" t="s">
        <v>73</v>
      </c>
      <c r="M236" t="s">
        <v>85</v>
      </c>
      <c r="N236">
        <v>2</v>
      </c>
      <c r="O236" t="s">
        <v>22</v>
      </c>
      <c r="P236">
        <v>1761.17</v>
      </c>
      <c r="Q236" t="s">
        <v>23</v>
      </c>
      <c r="R236" t="s">
        <v>24</v>
      </c>
      <c r="S236">
        <v>400001</v>
      </c>
      <c r="T236" t="s">
        <v>25</v>
      </c>
      <c r="U236" t="s">
        <v>26</v>
      </c>
    </row>
    <row r="237" spans="1:21" x14ac:dyDescent="0.3">
      <c r="A237">
        <v>236</v>
      </c>
      <c r="B237" t="s">
        <v>915</v>
      </c>
      <c r="C237" t="s">
        <v>916</v>
      </c>
      <c r="D237" t="s">
        <v>15</v>
      </c>
      <c r="E237">
        <v>43</v>
      </c>
      <c r="F237" t="str">
        <f t="shared" si="6"/>
        <v>Adult</v>
      </c>
      <c r="G237" t="s">
        <v>768</v>
      </c>
      <c r="H237" t="str">
        <f t="shared" si="7"/>
        <v>Jun</v>
      </c>
      <c r="I237" t="s">
        <v>17</v>
      </c>
      <c r="J237" t="s">
        <v>71</v>
      </c>
      <c r="K237" t="s">
        <v>917</v>
      </c>
      <c r="L237" t="s">
        <v>107</v>
      </c>
      <c r="M237" t="s">
        <v>21</v>
      </c>
      <c r="N237">
        <v>2</v>
      </c>
      <c r="O237" t="s">
        <v>22</v>
      </c>
      <c r="P237">
        <v>3159.79</v>
      </c>
      <c r="Q237" t="s">
        <v>74</v>
      </c>
      <c r="R237" t="s">
        <v>75</v>
      </c>
      <c r="S237">
        <v>226001</v>
      </c>
      <c r="T237" t="s">
        <v>25</v>
      </c>
      <c r="U237" t="s">
        <v>44</v>
      </c>
    </row>
    <row r="238" spans="1:21" x14ac:dyDescent="0.3">
      <c r="A238">
        <v>237</v>
      </c>
      <c r="B238" t="s">
        <v>918</v>
      </c>
      <c r="C238" t="s">
        <v>919</v>
      </c>
      <c r="D238" t="s">
        <v>15</v>
      </c>
      <c r="E238">
        <v>25</v>
      </c>
      <c r="F238" t="str">
        <f t="shared" si="6"/>
        <v>Teenager</v>
      </c>
      <c r="G238" t="s">
        <v>920</v>
      </c>
      <c r="H238" t="str">
        <f t="shared" si="7"/>
        <v>Feb</v>
      </c>
      <c r="I238" t="s">
        <v>48</v>
      </c>
      <c r="J238" t="s">
        <v>101</v>
      </c>
      <c r="K238" t="s">
        <v>921</v>
      </c>
      <c r="L238" t="s">
        <v>107</v>
      </c>
      <c r="M238" t="s">
        <v>34</v>
      </c>
      <c r="N238">
        <v>2</v>
      </c>
      <c r="O238" t="s">
        <v>22</v>
      </c>
      <c r="P238">
        <v>2883.18</v>
      </c>
      <c r="Q238" t="s">
        <v>51</v>
      </c>
      <c r="R238" t="s">
        <v>51</v>
      </c>
      <c r="S238">
        <v>110001</v>
      </c>
      <c r="T238" t="s">
        <v>25</v>
      </c>
      <c r="U238" t="s">
        <v>26</v>
      </c>
    </row>
    <row r="239" spans="1:21" x14ac:dyDescent="0.3">
      <c r="A239">
        <v>238</v>
      </c>
      <c r="B239" t="s">
        <v>922</v>
      </c>
      <c r="C239" t="s">
        <v>923</v>
      </c>
      <c r="D239" t="s">
        <v>15</v>
      </c>
      <c r="E239">
        <v>29</v>
      </c>
      <c r="F239" t="str">
        <f t="shared" si="6"/>
        <v>Teenager</v>
      </c>
      <c r="G239" t="s">
        <v>924</v>
      </c>
      <c r="H239" t="str">
        <f t="shared" si="7"/>
        <v>Jun</v>
      </c>
      <c r="I239" t="s">
        <v>60</v>
      </c>
      <c r="J239" t="s">
        <v>18</v>
      </c>
      <c r="K239" t="s">
        <v>925</v>
      </c>
      <c r="L239" t="s">
        <v>107</v>
      </c>
      <c r="M239" t="s">
        <v>34</v>
      </c>
      <c r="N239">
        <v>1</v>
      </c>
      <c r="O239" t="s">
        <v>22</v>
      </c>
      <c r="P239">
        <v>4962.58</v>
      </c>
      <c r="Q239" t="s">
        <v>42</v>
      </c>
      <c r="R239" t="s">
        <v>43</v>
      </c>
      <c r="S239">
        <v>302001</v>
      </c>
      <c r="T239" t="s">
        <v>25</v>
      </c>
      <c r="U239" t="s">
        <v>44</v>
      </c>
    </row>
    <row r="240" spans="1:21" x14ac:dyDescent="0.3">
      <c r="A240">
        <v>239</v>
      </c>
      <c r="B240" t="s">
        <v>926</v>
      </c>
      <c r="C240" t="s">
        <v>927</v>
      </c>
      <c r="D240" t="s">
        <v>15</v>
      </c>
      <c r="E240">
        <v>36</v>
      </c>
      <c r="F240" t="str">
        <f t="shared" si="6"/>
        <v>Adult</v>
      </c>
      <c r="G240" t="s">
        <v>159</v>
      </c>
      <c r="H240" t="str">
        <f t="shared" si="7"/>
        <v>Aug</v>
      </c>
      <c r="I240" t="s">
        <v>70</v>
      </c>
      <c r="J240" t="s">
        <v>40</v>
      </c>
      <c r="K240" t="s">
        <v>928</v>
      </c>
      <c r="L240" t="s">
        <v>56</v>
      </c>
      <c r="M240" t="s">
        <v>85</v>
      </c>
      <c r="N240">
        <v>5</v>
      </c>
      <c r="O240" t="s">
        <v>22</v>
      </c>
      <c r="P240">
        <v>4529.16</v>
      </c>
      <c r="Q240" t="s">
        <v>74</v>
      </c>
      <c r="R240" t="s">
        <v>75</v>
      </c>
      <c r="S240">
        <v>226001</v>
      </c>
      <c r="T240" t="s">
        <v>25</v>
      </c>
      <c r="U240" t="s">
        <v>26</v>
      </c>
    </row>
    <row r="241" spans="1:21" x14ac:dyDescent="0.3">
      <c r="A241">
        <v>240</v>
      </c>
      <c r="B241" t="s">
        <v>929</v>
      </c>
      <c r="C241" t="s">
        <v>930</v>
      </c>
      <c r="D241" t="s">
        <v>15</v>
      </c>
      <c r="E241">
        <v>34</v>
      </c>
      <c r="F241" t="str">
        <f t="shared" si="6"/>
        <v>Adult</v>
      </c>
      <c r="G241" t="s">
        <v>931</v>
      </c>
      <c r="H241" t="str">
        <f t="shared" si="7"/>
        <v>Jan</v>
      </c>
      <c r="I241" t="s">
        <v>48</v>
      </c>
      <c r="J241" t="s">
        <v>18</v>
      </c>
      <c r="K241" t="s">
        <v>932</v>
      </c>
      <c r="L241" t="s">
        <v>62</v>
      </c>
      <c r="M241" t="s">
        <v>50</v>
      </c>
      <c r="N241">
        <v>4</v>
      </c>
      <c r="O241" t="s">
        <v>22</v>
      </c>
      <c r="P241">
        <v>2120.09</v>
      </c>
      <c r="Q241" t="s">
        <v>42</v>
      </c>
      <c r="R241" t="s">
        <v>43</v>
      </c>
      <c r="S241">
        <v>302001</v>
      </c>
      <c r="T241" t="s">
        <v>25</v>
      </c>
      <c r="U241" t="s">
        <v>44</v>
      </c>
    </row>
    <row r="242" spans="1:21" x14ac:dyDescent="0.3">
      <c r="A242">
        <v>241</v>
      </c>
      <c r="B242" t="s">
        <v>933</v>
      </c>
      <c r="C242" t="s">
        <v>934</v>
      </c>
      <c r="D242" t="s">
        <v>15</v>
      </c>
      <c r="E242">
        <v>31</v>
      </c>
      <c r="F242" t="str">
        <f t="shared" si="6"/>
        <v>Adult</v>
      </c>
      <c r="G242" t="s">
        <v>935</v>
      </c>
      <c r="H242" t="str">
        <f t="shared" si="7"/>
        <v>Jun</v>
      </c>
      <c r="I242" t="s">
        <v>17</v>
      </c>
      <c r="J242" t="s">
        <v>18</v>
      </c>
      <c r="K242" t="s">
        <v>936</v>
      </c>
      <c r="L242" t="s">
        <v>56</v>
      </c>
      <c r="M242" t="s">
        <v>21</v>
      </c>
      <c r="N242">
        <v>5</v>
      </c>
      <c r="O242" t="s">
        <v>22</v>
      </c>
      <c r="P242">
        <v>939.45</v>
      </c>
      <c r="Q242" t="s">
        <v>35</v>
      </c>
      <c r="R242" t="s">
        <v>36</v>
      </c>
      <c r="S242">
        <v>560001</v>
      </c>
      <c r="T242" t="s">
        <v>25</v>
      </c>
      <c r="U242" t="s">
        <v>26</v>
      </c>
    </row>
    <row r="243" spans="1:21" x14ac:dyDescent="0.3">
      <c r="A243">
        <v>242</v>
      </c>
      <c r="B243" t="s">
        <v>937</v>
      </c>
      <c r="C243" t="s">
        <v>938</v>
      </c>
      <c r="D243" t="s">
        <v>15</v>
      </c>
      <c r="E243">
        <v>40</v>
      </c>
      <c r="F243" t="str">
        <f t="shared" si="6"/>
        <v>Adult</v>
      </c>
      <c r="G243" t="s">
        <v>939</v>
      </c>
      <c r="H243" t="str">
        <f t="shared" si="7"/>
        <v>Aug</v>
      </c>
      <c r="I243" t="s">
        <v>48</v>
      </c>
      <c r="J243" t="s">
        <v>101</v>
      </c>
      <c r="K243" t="s">
        <v>940</v>
      </c>
      <c r="L243" t="s">
        <v>56</v>
      </c>
      <c r="M243" t="s">
        <v>50</v>
      </c>
      <c r="N243">
        <v>2</v>
      </c>
      <c r="O243" t="s">
        <v>22</v>
      </c>
      <c r="P243">
        <v>4134.9799999999996</v>
      </c>
      <c r="Q243" t="s">
        <v>51</v>
      </c>
      <c r="R243" t="s">
        <v>51</v>
      </c>
      <c r="S243">
        <v>110001</v>
      </c>
      <c r="T243" t="s">
        <v>25</v>
      </c>
      <c r="U243" t="s">
        <v>26</v>
      </c>
    </row>
    <row r="244" spans="1:21" x14ac:dyDescent="0.3">
      <c r="A244">
        <v>243</v>
      </c>
      <c r="B244" t="s">
        <v>941</v>
      </c>
      <c r="C244" t="s">
        <v>942</v>
      </c>
      <c r="D244" t="s">
        <v>15</v>
      </c>
      <c r="E244">
        <v>48</v>
      </c>
      <c r="F244" t="str">
        <f t="shared" si="6"/>
        <v>Adult</v>
      </c>
      <c r="G244" t="s">
        <v>100</v>
      </c>
      <c r="H244" t="str">
        <f t="shared" si="7"/>
        <v>Nov</v>
      </c>
      <c r="I244" t="s">
        <v>60</v>
      </c>
      <c r="J244" t="s">
        <v>101</v>
      </c>
      <c r="K244" t="s">
        <v>943</v>
      </c>
      <c r="L244" t="s">
        <v>73</v>
      </c>
      <c r="M244" t="s">
        <v>85</v>
      </c>
      <c r="N244">
        <v>4</v>
      </c>
      <c r="O244" t="s">
        <v>22</v>
      </c>
      <c r="P244">
        <v>4181.13</v>
      </c>
      <c r="Q244" t="s">
        <v>35</v>
      </c>
      <c r="R244" t="s">
        <v>36</v>
      </c>
      <c r="S244">
        <v>560001</v>
      </c>
      <c r="T244" t="s">
        <v>25</v>
      </c>
      <c r="U244" t="s">
        <v>26</v>
      </c>
    </row>
    <row r="245" spans="1:21" x14ac:dyDescent="0.3">
      <c r="A245">
        <v>244</v>
      </c>
      <c r="B245" t="s">
        <v>944</v>
      </c>
      <c r="C245" t="s">
        <v>945</v>
      </c>
      <c r="D245" t="s">
        <v>15</v>
      </c>
      <c r="E245">
        <v>38</v>
      </c>
      <c r="F245" t="str">
        <f t="shared" si="6"/>
        <v>Adult</v>
      </c>
      <c r="G245" t="s">
        <v>946</v>
      </c>
      <c r="H245" t="str">
        <f t="shared" si="7"/>
        <v>Dec</v>
      </c>
      <c r="I245" t="s">
        <v>60</v>
      </c>
      <c r="J245" t="s">
        <v>40</v>
      </c>
      <c r="K245" t="s">
        <v>947</v>
      </c>
      <c r="L245" t="s">
        <v>73</v>
      </c>
      <c r="M245" t="s">
        <v>21</v>
      </c>
      <c r="N245">
        <v>2</v>
      </c>
      <c r="O245" t="s">
        <v>22</v>
      </c>
      <c r="P245">
        <v>681.97</v>
      </c>
      <c r="Q245" t="s">
        <v>74</v>
      </c>
      <c r="R245" t="s">
        <v>75</v>
      </c>
      <c r="S245">
        <v>226001</v>
      </c>
      <c r="T245" t="s">
        <v>25</v>
      </c>
      <c r="U245" t="s">
        <v>44</v>
      </c>
    </row>
    <row r="246" spans="1:21" x14ac:dyDescent="0.3">
      <c r="A246">
        <v>245</v>
      </c>
      <c r="B246" t="s">
        <v>948</v>
      </c>
      <c r="C246" t="s">
        <v>949</v>
      </c>
      <c r="D246" t="s">
        <v>15</v>
      </c>
      <c r="E246">
        <v>19</v>
      </c>
      <c r="F246" t="str">
        <f t="shared" si="6"/>
        <v>Teenager</v>
      </c>
      <c r="G246" t="s">
        <v>950</v>
      </c>
      <c r="H246" t="str">
        <f t="shared" si="7"/>
        <v>Oct</v>
      </c>
      <c r="I246" t="s">
        <v>60</v>
      </c>
      <c r="J246" t="s">
        <v>71</v>
      </c>
      <c r="K246" t="s">
        <v>951</v>
      </c>
      <c r="L246" t="s">
        <v>20</v>
      </c>
      <c r="M246" t="s">
        <v>21</v>
      </c>
      <c r="N246">
        <v>2</v>
      </c>
      <c r="O246" t="s">
        <v>22</v>
      </c>
      <c r="P246">
        <v>1984.14</v>
      </c>
      <c r="Q246" t="s">
        <v>42</v>
      </c>
      <c r="R246" t="s">
        <v>43</v>
      </c>
      <c r="S246">
        <v>302001</v>
      </c>
      <c r="T246" t="s">
        <v>25</v>
      </c>
      <c r="U246" t="s">
        <v>44</v>
      </c>
    </row>
    <row r="247" spans="1:21" x14ac:dyDescent="0.3">
      <c r="A247">
        <v>246</v>
      </c>
      <c r="B247" t="s">
        <v>952</v>
      </c>
      <c r="C247" t="s">
        <v>953</v>
      </c>
      <c r="D247" t="s">
        <v>15</v>
      </c>
      <c r="E247">
        <v>48</v>
      </c>
      <c r="F247" t="str">
        <f t="shared" si="6"/>
        <v>Adult</v>
      </c>
      <c r="G247" t="s">
        <v>954</v>
      </c>
      <c r="H247" t="str">
        <f t="shared" si="7"/>
        <v>Feb</v>
      </c>
      <c r="I247" t="s">
        <v>48</v>
      </c>
      <c r="J247" t="s">
        <v>18</v>
      </c>
      <c r="K247" t="s">
        <v>955</v>
      </c>
      <c r="L247" t="s">
        <v>56</v>
      </c>
      <c r="M247" t="s">
        <v>50</v>
      </c>
      <c r="N247">
        <v>1</v>
      </c>
      <c r="O247" t="s">
        <v>22</v>
      </c>
      <c r="P247">
        <v>3343.64</v>
      </c>
      <c r="Q247" t="s">
        <v>42</v>
      </c>
      <c r="R247" t="s">
        <v>43</v>
      </c>
      <c r="S247">
        <v>302001</v>
      </c>
      <c r="T247" t="s">
        <v>25</v>
      </c>
      <c r="U247" t="s">
        <v>44</v>
      </c>
    </row>
    <row r="248" spans="1:21" x14ac:dyDescent="0.3">
      <c r="A248">
        <v>247</v>
      </c>
      <c r="B248" t="s">
        <v>956</v>
      </c>
      <c r="C248" t="s">
        <v>957</v>
      </c>
      <c r="D248" t="s">
        <v>15</v>
      </c>
      <c r="E248">
        <v>21</v>
      </c>
      <c r="F248" t="str">
        <f t="shared" si="6"/>
        <v>Teenager</v>
      </c>
      <c r="G248" t="s">
        <v>958</v>
      </c>
      <c r="H248" t="str">
        <f t="shared" si="7"/>
        <v>Sep</v>
      </c>
      <c r="I248" t="s">
        <v>60</v>
      </c>
      <c r="J248" t="s">
        <v>71</v>
      </c>
      <c r="K248" t="s">
        <v>959</v>
      </c>
      <c r="L248" t="s">
        <v>62</v>
      </c>
      <c r="M248" t="s">
        <v>34</v>
      </c>
      <c r="N248">
        <v>4</v>
      </c>
      <c r="O248" t="s">
        <v>22</v>
      </c>
      <c r="P248">
        <v>3710.6</v>
      </c>
      <c r="Q248" t="s">
        <v>23</v>
      </c>
      <c r="R248" t="s">
        <v>24</v>
      </c>
      <c r="S248">
        <v>400001</v>
      </c>
      <c r="T248" t="s">
        <v>25</v>
      </c>
      <c r="U248" t="s">
        <v>44</v>
      </c>
    </row>
    <row r="249" spans="1:21" x14ac:dyDescent="0.3">
      <c r="A249">
        <v>248</v>
      </c>
      <c r="B249" t="s">
        <v>960</v>
      </c>
      <c r="C249" t="s">
        <v>961</v>
      </c>
      <c r="D249" t="s">
        <v>15</v>
      </c>
      <c r="E249">
        <v>54</v>
      </c>
      <c r="F249" t="str">
        <f t="shared" si="6"/>
        <v>Senior</v>
      </c>
      <c r="G249" t="s">
        <v>296</v>
      </c>
      <c r="H249" t="str">
        <f t="shared" si="7"/>
        <v>Jan</v>
      </c>
      <c r="I249" t="s">
        <v>48</v>
      </c>
      <c r="J249" t="s">
        <v>31</v>
      </c>
      <c r="K249" t="s">
        <v>962</v>
      </c>
      <c r="L249" t="s">
        <v>73</v>
      </c>
      <c r="M249" t="s">
        <v>85</v>
      </c>
      <c r="N249">
        <v>5</v>
      </c>
      <c r="O249" t="s">
        <v>22</v>
      </c>
      <c r="P249">
        <v>1887.31</v>
      </c>
      <c r="Q249" t="s">
        <v>35</v>
      </c>
      <c r="R249" t="s">
        <v>36</v>
      </c>
      <c r="S249">
        <v>560001</v>
      </c>
      <c r="T249" t="s">
        <v>25</v>
      </c>
      <c r="U249" t="s">
        <v>44</v>
      </c>
    </row>
    <row r="250" spans="1:21" x14ac:dyDescent="0.3">
      <c r="A250">
        <v>249</v>
      </c>
      <c r="B250" t="s">
        <v>963</v>
      </c>
      <c r="C250" t="s">
        <v>964</v>
      </c>
      <c r="D250" t="s">
        <v>15</v>
      </c>
      <c r="E250">
        <v>44</v>
      </c>
      <c r="F250" t="str">
        <f t="shared" si="6"/>
        <v>Adult</v>
      </c>
      <c r="G250" t="s">
        <v>246</v>
      </c>
      <c r="H250" t="str">
        <f t="shared" si="7"/>
        <v>Nov</v>
      </c>
      <c r="I250" t="s">
        <v>60</v>
      </c>
      <c r="J250" t="s">
        <v>31</v>
      </c>
      <c r="K250" t="s">
        <v>965</v>
      </c>
      <c r="L250" t="s">
        <v>33</v>
      </c>
      <c r="M250" t="s">
        <v>34</v>
      </c>
      <c r="N250">
        <v>2</v>
      </c>
      <c r="O250" t="s">
        <v>22</v>
      </c>
      <c r="P250">
        <v>550.20000000000005</v>
      </c>
      <c r="Q250" t="s">
        <v>35</v>
      </c>
      <c r="R250" t="s">
        <v>36</v>
      </c>
      <c r="S250">
        <v>560001</v>
      </c>
      <c r="T250" t="s">
        <v>25</v>
      </c>
      <c r="U250" t="s">
        <v>26</v>
      </c>
    </row>
    <row r="251" spans="1:21" x14ac:dyDescent="0.3">
      <c r="A251">
        <v>250</v>
      </c>
      <c r="B251" t="s">
        <v>966</v>
      </c>
      <c r="C251" t="s">
        <v>967</v>
      </c>
      <c r="D251" t="s">
        <v>15</v>
      </c>
      <c r="E251">
        <v>59</v>
      </c>
      <c r="F251" t="str">
        <f t="shared" si="6"/>
        <v>Senior</v>
      </c>
      <c r="G251" t="s">
        <v>968</v>
      </c>
      <c r="H251" t="str">
        <f t="shared" si="7"/>
        <v>Mar</v>
      </c>
      <c r="I251" t="s">
        <v>70</v>
      </c>
      <c r="J251" t="s">
        <v>31</v>
      </c>
      <c r="K251" t="s">
        <v>969</v>
      </c>
      <c r="L251" t="s">
        <v>20</v>
      </c>
      <c r="M251" t="s">
        <v>34</v>
      </c>
      <c r="N251">
        <v>4</v>
      </c>
      <c r="O251" t="s">
        <v>22</v>
      </c>
      <c r="P251">
        <v>2311.61</v>
      </c>
      <c r="Q251" t="s">
        <v>42</v>
      </c>
      <c r="R251" t="s">
        <v>43</v>
      </c>
      <c r="S251">
        <v>302001</v>
      </c>
      <c r="T251" t="s">
        <v>25</v>
      </c>
      <c r="U251" t="s">
        <v>26</v>
      </c>
    </row>
    <row r="252" spans="1:21" x14ac:dyDescent="0.3">
      <c r="A252">
        <v>251</v>
      </c>
      <c r="B252" t="s">
        <v>970</v>
      </c>
      <c r="C252" t="s">
        <v>971</v>
      </c>
      <c r="D252" t="s">
        <v>15</v>
      </c>
      <c r="E252">
        <v>54</v>
      </c>
      <c r="F252" t="str">
        <f t="shared" si="6"/>
        <v>Senior</v>
      </c>
      <c r="G252" t="s">
        <v>909</v>
      </c>
      <c r="H252" t="str">
        <f t="shared" si="7"/>
        <v>Jun</v>
      </c>
      <c r="I252" t="s">
        <v>70</v>
      </c>
      <c r="J252" t="s">
        <v>31</v>
      </c>
      <c r="K252" t="s">
        <v>972</v>
      </c>
      <c r="L252" t="s">
        <v>62</v>
      </c>
      <c r="M252" t="s">
        <v>85</v>
      </c>
      <c r="N252">
        <v>4</v>
      </c>
      <c r="O252" t="s">
        <v>22</v>
      </c>
      <c r="P252">
        <v>3758.77</v>
      </c>
      <c r="Q252" t="s">
        <v>74</v>
      </c>
      <c r="R252" t="s">
        <v>75</v>
      </c>
      <c r="S252">
        <v>226001</v>
      </c>
      <c r="T252" t="s">
        <v>25</v>
      </c>
      <c r="U252" t="s">
        <v>44</v>
      </c>
    </row>
    <row r="253" spans="1:21" x14ac:dyDescent="0.3">
      <c r="A253">
        <v>252</v>
      </c>
      <c r="B253" t="s">
        <v>973</v>
      </c>
      <c r="C253" t="s">
        <v>974</v>
      </c>
      <c r="D253" t="s">
        <v>15</v>
      </c>
      <c r="E253">
        <v>45</v>
      </c>
      <c r="F253" t="str">
        <f t="shared" si="6"/>
        <v>Adult</v>
      </c>
      <c r="G253" t="s">
        <v>83</v>
      </c>
      <c r="H253" t="str">
        <f t="shared" si="7"/>
        <v>Nov</v>
      </c>
      <c r="I253" t="s">
        <v>70</v>
      </c>
      <c r="J253" t="s">
        <v>31</v>
      </c>
      <c r="K253" t="s">
        <v>975</v>
      </c>
      <c r="L253" t="s">
        <v>20</v>
      </c>
      <c r="M253" t="s">
        <v>34</v>
      </c>
      <c r="N253">
        <v>1</v>
      </c>
      <c r="O253" t="s">
        <v>22</v>
      </c>
      <c r="P253">
        <v>3495.63</v>
      </c>
      <c r="Q253" t="s">
        <v>35</v>
      </c>
      <c r="R253" t="s">
        <v>36</v>
      </c>
      <c r="S253">
        <v>560001</v>
      </c>
      <c r="T253" t="s">
        <v>25</v>
      </c>
      <c r="U253" t="s">
        <v>26</v>
      </c>
    </row>
    <row r="254" spans="1:21" x14ac:dyDescent="0.3">
      <c r="A254">
        <v>253</v>
      </c>
      <c r="B254" t="s">
        <v>976</v>
      </c>
      <c r="C254" t="s">
        <v>977</v>
      </c>
      <c r="D254" t="s">
        <v>15</v>
      </c>
      <c r="E254">
        <v>33</v>
      </c>
      <c r="F254" t="str">
        <f t="shared" si="6"/>
        <v>Adult</v>
      </c>
      <c r="G254" t="s">
        <v>978</v>
      </c>
      <c r="H254" t="str">
        <f t="shared" si="7"/>
        <v>Jan</v>
      </c>
      <c r="I254" t="s">
        <v>60</v>
      </c>
      <c r="J254" t="s">
        <v>31</v>
      </c>
      <c r="K254" t="s">
        <v>979</v>
      </c>
      <c r="L254" t="s">
        <v>33</v>
      </c>
      <c r="M254" t="s">
        <v>34</v>
      </c>
      <c r="N254">
        <v>3</v>
      </c>
      <c r="O254" t="s">
        <v>22</v>
      </c>
      <c r="P254">
        <v>1972.72</v>
      </c>
      <c r="Q254" t="s">
        <v>51</v>
      </c>
      <c r="R254" t="s">
        <v>51</v>
      </c>
      <c r="S254">
        <v>110001</v>
      </c>
      <c r="T254" t="s">
        <v>25</v>
      </c>
      <c r="U254" t="s">
        <v>26</v>
      </c>
    </row>
    <row r="255" spans="1:21" x14ac:dyDescent="0.3">
      <c r="A255">
        <v>254</v>
      </c>
      <c r="B255" t="s">
        <v>980</v>
      </c>
      <c r="C255" t="s">
        <v>981</v>
      </c>
      <c r="D255" t="s">
        <v>15</v>
      </c>
      <c r="E255">
        <v>52</v>
      </c>
      <c r="F255" t="str">
        <f t="shared" si="6"/>
        <v>Senior</v>
      </c>
      <c r="G255" t="s">
        <v>481</v>
      </c>
      <c r="H255" t="str">
        <f t="shared" si="7"/>
        <v>Jan</v>
      </c>
      <c r="I255" t="s">
        <v>60</v>
      </c>
      <c r="J255" t="s">
        <v>31</v>
      </c>
      <c r="K255" t="s">
        <v>982</v>
      </c>
      <c r="L255" t="s">
        <v>73</v>
      </c>
      <c r="M255" t="s">
        <v>85</v>
      </c>
      <c r="N255">
        <v>5</v>
      </c>
      <c r="O255" t="s">
        <v>22</v>
      </c>
      <c r="P255">
        <v>1466.47</v>
      </c>
      <c r="Q255" t="s">
        <v>23</v>
      </c>
      <c r="R255" t="s">
        <v>24</v>
      </c>
      <c r="S255">
        <v>400001</v>
      </c>
      <c r="T255" t="s">
        <v>25</v>
      </c>
      <c r="U255" t="s">
        <v>44</v>
      </c>
    </row>
    <row r="256" spans="1:21" x14ac:dyDescent="0.3">
      <c r="A256">
        <v>255</v>
      </c>
      <c r="B256" t="s">
        <v>983</v>
      </c>
      <c r="C256" t="s">
        <v>984</v>
      </c>
      <c r="D256" t="s">
        <v>15</v>
      </c>
      <c r="E256">
        <v>47</v>
      </c>
      <c r="F256" t="str">
        <f t="shared" si="6"/>
        <v>Adult</v>
      </c>
      <c r="G256" t="s">
        <v>985</v>
      </c>
      <c r="H256" t="str">
        <f t="shared" si="7"/>
        <v>Mar</v>
      </c>
      <c r="I256" t="s">
        <v>60</v>
      </c>
      <c r="J256" t="s">
        <v>31</v>
      </c>
      <c r="K256" t="s">
        <v>986</v>
      </c>
      <c r="L256" t="s">
        <v>33</v>
      </c>
      <c r="M256" t="s">
        <v>50</v>
      </c>
      <c r="N256">
        <v>1</v>
      </c>
      <c r="O256" t="s">
        <v>22</v>
      </c>
      <c r="P256">
        <v>982.21</v>
      </c>
      <c r="Q256" t="s">
        <v>74</v>
      </c>
      <c r="R256" t="s">
        <v>75</v>
      </c>
      <c r="S256">
        <v>226001</v>
      </c>
      <c r="T256" t="s">
        <v>25</v>
      </c>
      <c r="U256" t="s">
        <v>44</v>
      </c>
    </row>
    <row r="257" spans="1:21" x14ac:dyDescent="0.3">
      <c r="A257">
        <v>256</v>
      </c>
      <c r="B257" t="s">
        <v>987</v>
      </c>
      <c r="C257" t="s">
        <v>988</v>
      </c>
      <c r="D257" t="s">
        <v>15</v>
      </c>
      <c r="E257">
        <v>36</v>
      </c>
      <c r="F257" t="str">
        <f t="shared" si="6"/>
        <v>Adult</v>
      </c>
      <c r="G257" t="s">
        <v>989</v>
      </c>
      <c r="H257" t="str">
        <f t="shared" si="7"/>
        <v>Feb</v>
      </c>
      <c r="I257" t="s">
        <v>60</v>
      </c>
      <c r="J257" t="s">
        <v>31</v>
      </c>
      <c r="K257" t="s">
        <v>990</v>
      </c>
      <c r="L257" t="s">
        <v>73</v>
      </c>
      <c r="M257" t="s">
        <v>85</v>
      </c>
      <c r="N257">
        <v>3</v>
      </c>
      <c r="O257" t="s">
        <v>22</v>
      </c>
      <c r="P257">
        <v>1141.49</v>
      </c>
      <c r="Q257" t="s">
        <v>23</v>
      </c>
      <c r="R257" t="s">
        <v>24</v>
      </c>
      <c r="S257">
        <v>400001</v>
      </c>
      <c r="T257" t="s">
        <v>25</v>
      </c>
      <c r="U257" t="s">
        <v>26</v>
      </c>
    </row>
    <row r="258" spans="1:21" x14ac:dyDescent="0.3">
      <c r="A258">
        <v>257</v>
      </c>
      <c r="B258" t="s">
        <v>991</v>
      </c>
      <c r="C258" t="s">
        <v>992</v>
      </c>
      <c r="D258" t="s">
        <v>15</v>
      </c>
      <c r="E258">
        <v>39</v>
      </c>
      <c r="F258" t="str">
        <f t="shared" si="6"/>
        <v>Adult</v>
      </c>
      <c r="G258" t="s">
        <v>449</v>
      </c>
      <c r="H258" t="str">
        <f t="shared" si="7"/>
        <v>Aug</v>
      </c>
      <c r="I258" t="s">
        <v>60</v>
      </c>
      <c r="J258" t="s">
        <v>31</v>
      </c>
      <c r="K258" t="s">
        <v>993</v>
      </c>
      <c r="L258" t="s">
        <v>107</v>
      </c>
      <c r="M258" t="s">
        <v>50</v>
      </c>
      <c r="N258">
        <v>1</v>
      </c>
      <c r="O258" t="s">
        <v>22</v>
      </c>
      <c r="P258">
        <v>4169.72</v>
      </c>
      <c r="Q258" t="s">
        <v>74</v>
      </c>
      <c r="R258" t="s">
        <v>75</v>
      </c>
      <c r="S258">
        <v>226001</v>
      </c>
      <c r="T258" t="s">
        <v>25</v>
      </c>
      <c r="U258" t="s">
        <v>44</v>
      </c>
    </row>
    <row r="259" spans="1:21" x14ac:dyDescent="0.3">
      <c r="A259">
        <v>258</v>
      </c>
      <c r="B259" t="s">
        <v>994</v>
      </c>
      <c r="C259" t="s">
        <v>995</v>
      </c>
      <c r="D259" t="s">
        <v>29</v>
      </c>
      <c r="E259">
        <v>46</v>
      </c>
      <c r="F259" t="str">
        <f t="shared" ref="F259:F322" si="8">IF(E259&gt;=50,"Senior", IF(E259&gt;=30, "Adult","Teenager"))</f>
        <v>Adult</v>
      </c>
      <c r="G259" t="s">
        <v>996</v>
      </c>
      <c r="H259" t="str">
        <f t="shared" ref="H259:H322" si="9">TEXT(G259,"MMM")</f>
        <v>Sep</v>
      </c>
      <c r="I259" t="s">
        <v>60</v>
      </c>
      <c r="J259" t="s">
        <v>31</v>
      </c>
      <c r="K259" t="s">
        <v>997</v>
      </c>
      <c r="L259" t="s">
        <v>20</v>
      </c>
      <c r="M259" t="s">
        <v>34</v>
      </c>
      <c r="N259">
        <v>2</v>
      </c>
      <c r="O259" t="s">
        <v>22</v>
      </c>
      <c r="P259">
        <v>4145.3500000000004</v>
      </c>
      <c r="Q259" t="s">
        <v>42</v>
      </c>
      <c r="R259" t="s">
        <v>43</v>
      </c>
      <c r="S259">
        <v>302001</v>
      </c>
      <c r="T259" t="s">
        <v>25</v>
      </c>
      <c r="U259" t="s">
        <v>26</v>
      </c>
    </row>
    <row r="260" spans="1:21" x14ac:dyDescent="0.3">
      <c r="A260">
        <v>259</v>
      </c>
      <c r="B260" t="s">
        <v>998</v>
      </c>
      <c r="C260" t="s">
        <v>999</v>
      </c>
      <c r="D260" t="s">
        <v>15</v>
      </c>
      <c r="E260">
        <v>42</v>
      </c>
      <c r="F260" t="str">
        <f t="shared" si="8"/>
        <v>Adult</v>
      </c>
      <c r="G260" t="s">
        <v>1000</v>
      </c>
      <c r="H260" t="str">
        <f t="shared" si="9"/>
        <v>Dec</v>
      </c>
      <c r="I260" t="s">
        <v>60</v>
      </c>
      <c r="J260" t="s">
        <v>31</v>
      </c>
      <c r="K260" t="s">
        <v>1001</v>
      </c>
      <c r="L260" t="s">
        <v>73</v>
      </c>
      <c r="M260" t="s">
        <v>21</v>
      </c>
      <c r="N260">
        <v>5</v>
      </c>
      <c r="O260" t="s">
        <v>22</v>
      </c>
      <c r="P260">
        <v>3829.96</v>
      </c>
      <c r="Q260" t="s">
        <v>35</v>
      </c>
      <c r="R260" t="s">
        <v>36</v>
      </c>
      <c r="S260">
        <v>560001</v>
      </c>
      <c r="T260" t="s">
        <v>25</v>
      </c>
      <c r="U260" t="s">
        <v>44</v>
      </c>
    </row>
    <row r="261" spans="1:21" x14ac:dyDescent="0.3">
      <c r="A261">
        <v>260</v>
      </c>
      <c r="B261" t="s">
        <v>1002</v>
      </c>
      <c r="C261" t="s">
        <v>1003</v>
      </c>
      <c r="D261" t="s">
        <v>29</v>
      </c>
      <c r="E261">
        <v>48</v>
      </c>
      <c r="F261" t="str">
        <f t="shared" si="8"/>
        <v>Adult</v>
      </c>
      <c r="G261" t="s">
        <v>1004</v>
      </c>
      <c r="H261" t="str">
        <f t="shared" si="9"/>
        <v>Nov</v>
      </c>
      <c r="I261" t="s">
        <v>60</v>
      </c>
      <c r="J261" t="s">
        <v>31</v>
      </c>
      <c r="K261" t="s">
        <v>1005</v>
      </c>
      <c r="L261" t="s">
        <v>62</v>
      </c>
      <c r="M261" t="s">
        <v>50</v>
      </c>
      <c r="N261">
        <v>4</v>
      </c>
      <c r="O261" t="s">
        <v>22</v>
      </c>
      <c r="P261">
        <v>2535.0300000000002</v>
      </c>
      <c r="Q261" t="s">
        <v>23</v>
      </c>
      <c r="R261" t="s">
        <v>24</v>
      </c>
      <c r="S261">
        <v>400001</v>
      </c>
      <c r="T261" t="s">
        <v>25</v>
      </c>
      <c r="U261" t="s">
        <v>26</v>
      </c>
    </row>
    <row r="262" spans="1:21" x14ac:dyDescent="0.3">
      <c r="A262">
        <v>261</v>
      </c>
      <c r="B262" t="s">
        <v>1006</v>
      </c>
      <c r="C262" t="s">
        <v>1007</v>
      </c>
      <c r="D262" t="s">
        <v>29</v>
      </c>
      <c r="E262">
        <v>34</v>
      </c>
      <c r="F262" t="str">
        <f t="shared" si="8"/>
        <v>Adult</v>
      </c>
      <c r="G262" t="s">
        <v>1008</v>
      </c>
      <c r="H262" t="str">
        <f t="shared" si="9"/>
        <v>Sep</v>
      </c>
      <c r="I262" t="s">
        <v>60</v>
      </c>
      <c r="J262" t="s">
        <v>31</v>
      </c>
      <c r="K262" t="s">
        <v>1009</v>
      </c>
      <c r="L262" t="s">
        <v>62</v>
      </c>
      <c r="M262" t="s">
        <v>21</v>
      </c>
      <c r="N262">
        <v>1</v>
      </c>
      <c r="O262" t="s">
        <v>22</v>
      </c>
      <c r="P262">
        <v>3020.91</v>
      </c>
      <c r="Q262" t="s">
        <v>42</v>
      </c>
      <c r="R262" t="s">
        <v>43</v>
      </c>
      <c r="S262">
        <v>302001</v>
      </c>
      <c r="T262" t="s">
        <v>25</v>
      </c>
      <c r="U262" t="s">
        <v>26</v>
      </c>
    </row>
    <row r="263" spans="1:21" x14ac:dyDescent="0.3">
      <c r="A263">
        <v>262</v>
      </c>
      <c r="B263" t="s">
        <v>1010</v>
      </c>
      <c r="C263" t="s">
        <v>1011</v>
      </c>
      <c r="D263" t="s">
        <v>15</v>
      </c>
      <c r="E263">
        <v>38</v>
      </c>
      <c r="F263" t="str">
        <f t="shared" si="8"/>
        <v>Adult</v>
      </c>
      <c r="G263" t="s">
        <v>1012</v>
      </c>
      <c r="H263" t="str">
        <f t="shared" si="9"/>
        <v>Oct</v>
      </c>
      <c r="I263" t="s">
        <v>60</v>
      </c>
      <c r="J263" t="s">
        <v>31</v>
      </c>
      <c r="K263" t="s">
        <v>1013</v>
      </c>
      <c r="L263" t="s">
        <v>62</v>
      </c>
      <c r="M263" t="s">
        <v>21</v>
      </c>
      <c r="N263">
        <v>5</v>
      </c>
      <c r="O263" t="s">
        <v>22</v>
      </c>
      <c r="P263">
        <v>486.55</v>
      </c>
      <c r="Q263" t="s">
        <v>35</v>
      </c>
      <c r="R263" t="s">
        <v>36</v>
      </c>
      <c r="S263">
        <v>560001</v>
      </c>
      <c r="T263" t="s">
        <v>25</v>
      </c>
      <c r="U263" t="s">
        <v>26</v>
      </c>
    </row>
    <row r="264" spans="1:21" x14ac:dyDescent="0.3">
      <c r="A264">
        <v>263</v>
      </c>
      <c r="B264" t="s">
        <v>1014</v>
      </c>
      <c r="C264" t="s">
        <v>1015</v>
      </c>
      <c r="D264" t="s">
        <v>15</v>
      </c>
      <c r="E264">
        <v>57</v>
      </c>
      <c r="F264" t="str">
        <f t="shared" si="8"/>
        <v>Senior</v>
      </c>
      <c r="G264" t="s">
        <v>1016</v>
      </c>
      <c r="H264" t="str">
        <f t="shared" si="9"/>
        <v>Aug</v>
      </c>
      <c r="I264" t="s">
        <v>60</v>
      </c>
      <c r="J264" t="s">
        <v>31</v>
      </c>
      <c r="K264" t="s">
        <v>1017</v>
      </c>
      <c r="L264" t="s">
        <v>33</v>
      </c>
      <c r="M264" t="s">
        <v>34</v>
      </c>
      <c r="N264">
        <v>5</v>
      </c>
      <c r="O264" t="s">
        <v>22</v>
      </c>
      <c r="P264">
        <v>2491.4299999999998</v>
      </c>
      <c r="Q264" t="s">
        <v>51</v>
      </c>
      <c r="R264" t="s">
        <v>51</v>
      </c>
      <c r="S264">
        <v>110001</v>
      </c>
      <c r="T264" t="s">
        <v>25</v>
      </c>
      <c r="U264" t="s">
        <v>44</v>
      </c>
    </row>
    <row r="265" spans="1:21" x14ac:dyDescent="0.3">
      <c r="A265">
        <v>264</v>
      </c>
      <c r="B265" t="s">
        <v>1018</v>
      </c>
      <c r="C265" t="s">
        <v>1019</v>
      </c>
      <c r="D265" t="s">
        <v>29</v>
      </c>
      <c r="E265">
        <v>46</v>
      </c>
      <c r="F265" t="str">
        <f t="shared" si="8"/>
        <v>Adult</v>
      </c>
      <c r="G265" t="s">
        <v>1020</v>
      </c>
      <c r="H265" t="str">
        <f t="shared" si="9"/>
        <v>Aug</v>
      </c>
      <c r="I265" t="s">
        <v>60</v>
      </c>
      <c r="J265" t="s">
        <v>31</v>
      </c>
      <c r="K265" t="s">
        <v>1021</v>
      </c>
      <c r="L265" t="s">
        <v>73</v>
      </c>
      <c r="M265" t="s">
        <v>34</v>
      </c>
      <c r="N265">
        <v>3</v>
      </c>
      <c r="O265" t="s">
        <v>22</v>
      </c>
      <c r="P265">
        <v>3999.48</v>
      </c>
      <c r="Q265" t="s">
        <v>35</v>
      </c>
      <c r="R265" t="s">
        <v>36</v>
      </c>
      <c r="S265">
        <v>560001</v>
      </c>
      <c r="T265" t="s">
        <v>25</v>
      </c>
      <c r="U265" t="s">
        <v>26</v>
      </c>
    </row>
    <row r="266" spans="1:21" x14ac:dyDescent="0.3">
      <c r="A266">
        <v>265</v>
      </c>
      <c r="B266" t="s">
        <v>1022</v>
      </c>
      <c r="C266" t="s">
        <v>1023</v>
      </c>
      <c r="D266" t="s">
        <v>15</v>
      </c>
      <c r="E266">
        <v>43</v>
      </c>
      <c r="F266" t="str">
        <f t="shared" si="8"/>
        <v>Adult</v>
      </c>
      <c r="G266" t="s">
        <v>1024</v>
      </c>
      <c r="H266" t="str">
        <f t="shared" si="9"/>
        <v>Mar</v>
      </c>
      <c r="I266" t="s">
        <v>60</v>
      </c>
      <c r="J266" t="s">
        <v>31</v>
      </c>
      <c r="K266" t="s">
        <v>1025</v>
      </c>
      <c r="L266" t="s">
        <v>107</v>
      </c>
      <c r="M266" t="s">
        <v>85</v>
      </c>
      <c r="N266">
        <v>3</v>
      </c>
      <c r="O266" t="s">
        <v>22</v>
      </c>
      <c r="P266">
        <v>398.13</v>
      </c>
      <c r="Q266" t="s">
        <v>74</v>
      </c>
      <c r="R266" t="s">
        <v>75</v>
      </c>
      <c r="S266">
        <v>226001</v>
      </c>
      <c r="T266" t="s">
        <v>25</v>
      </c>
      <c r="U266" t="s">
        <v>26</v>
      </c>
    </row>
    <row r="267" spans="1:21" x14ac:dyDescent="0.3">
      <c r="A267">
        <v>266</v>
      </c>
      <c r="B267" t="s">
        <v>1026</v>
      </c>
      <c r="C267" t="s">
        <v>1027</v>
      </c>
      <c r="D267" t="s">
        <v>15</v>
      </c>
      <c r="E267">
        <v>54</v>
      </c>
      <c r="F267" t="str">
        <f t="shared" si="8"/>
        <v>Senior</v>
      </c>
      <c r="G267" t="s">
        <v>1028</v>
      </c>
      <c r="H267" t="str">
        <f t="shared" si="9"/>
        <v>Aug</v>
      </c>
      <c r="I267" t="s">
        <v>60</v>
      </c>
      <c r="J267" t="s">
        <v>31</v>
      </c>
      <c r="K267" t="s">
        <v>1029</v>
      </c>
      <c r="L267" t="s">
        <v>73</v>
      </c>
      <c r="M267" t="s">
        <v>34</v>
      </c>
      <c r="N267">
        <v>2</v>
      </c>
      <c r="O267" t="s">
        <v>22</v>
      </c>
      <c r="P267">
        <v>2574.1</v>
      </c>
      <c r="Q267" t="s">
        <v>42</v>
      </c>
      <c r="R267" t="s">
        <v>43</v>
      </c>
      <c r="S267">
        <v>302001</v>
      </c>
      <c r="T267" t="s">
        <v>25</v>
      </c>
      <c r="U267" t="s">
        <v>44</v>
      </c>
    </row>
    <row r="268" spans="1:21" x14ac:dyDescent="0.3">
      <c r="A268">
        <v>267</v>
      </c>
      <c r="B268" t="s">
        <v>1030</v>
      </c>
      <c r="C268" t="s">
        <v>1031</v>
      </c>
      <c r="D268" t="s">
        <v>15</v>
      </c>
      <c r="E268">
        <v>54</v>
      </c>
      <c r="F268" t="str">
        <f t="shared" si="8"/>
        <v>Senior</v>
      </c>
      <c r="G268" t="s">
        <v>985</v>
      </c>
      <c r="H268" t="str">
        <f t="shared" si="9"/>
        <v>Mar</v>
      </c>
      <c r="I268" t="s">
        <v>60</v>
      </c>
      <c r="J268" t="s">
        <v>31</v>
      </c>
      <c r="K268" t="s">
        <v>1032</v>
      </c>
      <c r="L268" t="s">
        <v>56</v>
      </c>
      <c r="M268" t="s">
        <v>21</v>
      </c>
      <c r="N268">
        <v>1</v>
      </c>
      <c r="O268" t="s">
        <v>22</v>
      </c>
      <c r="P268">
        <v>2785.14</v>
      </c>
      <c r="Q268" t="s">
        <v>35</v>
      </c>
      <c r="R268" t="s">
        <v>36</v>
      </c>
      <c r="S268">
        <v>560001</v>
      </c>
      <c r="T268" t="s">
        <v>25</v>
      </c>
      <c r="U268" t="s">
        <v>26</v>
      </c>
    </row>
    <row r="269" spans="1:21" x14ac:dyDescent="0.3">
      <c r="A269">
        <v>268</v>
      </c>
      <c r="B269" t="s">
        <v>1033</v>
      </c>
      <c r="C269" t="s">
        <v>1034</v>
      </c>
      <c r="D269" t="s">
        <v>15</v>
      </c>
      <c r="E269">
        <v>56</v>
      </c>
      <c r="F269" t="str">
        <f t="shared" si="8"/>
        <v>Senior</v>
      </c>
      <c r="G269" t="s">
        <v>996</v>
      </c>
      <c r="H269" t="str">
        <f t="shared" si="9"/>
        <v>Sep</v>
      </c>
      <c r="I269" t="s">
        <v>60</v>
      </c>
      <c r="J269" t="s">
        <v>31</v>
      </c>
      <c r="K269" t="s">
        <v>1035</v>
      </c>
      <c r="L269" t="s">
        <v>107</v>
      </c>
      <c r="M269" t="s">
        <v>34</v>
      </c>
      <c r="N269">
        <v>5</v>
      </c>
      <c r="O269" t="s">
        <v>22</v>
      </c>
      <c r="P269">
        <v>3385.28</v>
      </c>
      <c r="Q269" t="s">
        <v>51</v>
      </c>
      <c r="R269" t="s">
        <v>51</v>
      </c>
      <c r="S269">
        <v>110001</v>
      </c>
      <c r="T269" t="s">
        <v>25</v>
      </c>
      <c r="U269" t="s">
        <v>44</v>
      </c>
    </row>
    <row r="270" spans="1:21" x14ac:dyDescent="0.3">
      <c r="A270">
        <v>269</v>
      </c>
      <c r="B270" t="s">
        <v>1036</v>
      </c>
      <c r="C270" t="s">
        <v>1037</v>
      </c>
      <c r="D270" t="s">
        <v>15</v>
      </c>
      <c r="E270">
        <v>41</v>
      </c>
      <c r="F270" t="str">
        <f t="shared" si="8"/>
        <v>Adult</v>
      </c>
      <c r="G270" t="s">
        <v>946</v>
      </c>
      <c r="H270" t="str">
        <f t="shared" si="9"/>
        <v>Dec</v>
      </c>
      <c r="I270" t="s">
        <v>60</v>
      </c>
      <c r="J270" t="s">
        <v>31</v>
      </c>
      <c r="K270" t="s">
        <v>1038</v>
      </c>
      <c r="L270" t="s">
        <v>33</v>
      </c>
      <c r="M270" t="s">
        <v>21</v>
      </c>
      <c r="N270">
        <v>5</v>
      </c>
      <c r="O270" t="s">
        <v>22</v>
      </c>
      <c r="P270">
        <v>2842.68</v>
      </c>
      <c r="Q270" t="s">
        <v>51</v>
      </c>
      <c r="R270" t="s">
        <v>51</v>
      </c>
      <c r="S270">
        <v>110001</v>
      </c>
      <c r="T270" t="s">
        <v>25</v>
      </c>
      <c r="U270" t="s">
        <v>26</v>
      </c>
    </row>
    <row r="271" spans="1:21" x14ac:dyDescent="0.3">
      <c r="A271">
        <v>270</v>
      </c>
      <c r="B271" t="s">
        <v>1039</v>
      </c>
      <c r="C271" t="s">
        <v>1040</v>
      </c>
      <c r="D271" t="s">
        <v>29</v>
      </c>
      <c r="E271">
        <v>49</v>
      </c>
      <c r="F271" t="str">
        <f t="shared" si="8"/>
        <v>Adult</v>
      </c>
      <c r="G271" t="s">
        <v>1041</v>
      </c>
      <c r="H271" t="str">
        <f t="shared" si="9"/>
        <v>May</v>
      </c>
      <c r="I271" t="s">
        <v>60</v>
      </c>
      <c r="J271" t="s">
        <v>31</v>
      </c>
      <c r="K271" t="s">
        <v>1042</v>
      </c>
      <c r="L271" t="s">
        <v>107</v>
      </c>
      <c r="M271" t="s">
        <v>85</v>
      </c>
      <c r="N271">
        <v>5</v>
      </c>
      <c r="O271" t="s">
        <v>22</v>
      </c>
      <c r="P271">
        <v>898.19</v>
      </c>
      <c r="Q271" t="s">
        <v>23</v>
      </c>
      <c r="R271" t="s">
        <v>24</v>
      </c>
      <c r="S271">
        <v>400001</v>
      </c>
      <c r="T271" t="s">
        <v>25</v>
      </c>
      <c r="U271" t="s">
        <v>26</v>
      </c>
    </row>
    <row r="272" spans="1:21" x14ac:dyDescent="0.3">
      <c r="A272">
        <v>271</v>
      </c>
      <c r="B272" t="s">
        <v>1043</v>
      </c>
      <c r="C272" t="s">
        <v>1044</v>
      </c>
      <c r="D272" t="s">
        <v>15</v>
      </c>
      <c r="E272">
        <v>27</v>
      </c>
      <c r="F272" t="str">
        <f t="shared" si="8"/>
        <v>Teenager</v>
      </c>
      <c r="G272" t="s">
        <v>110</v>
      </c>
      <c r="H272" t="str">
        <f t="shared" si="9"/>
        <v>Dec</v>
      </c>
      <c r="I272" t="s">
        <v>60</v>
      </c>
      <c r="J272" t="s">
        <v>31</v>
      </c>
      <c r="K272" t="s">
        <v>1045</v>
      </c>
      <c r="L272" t="s">
        <v>56</v>
      </c>
      <c r="M272" t="s">
        <v>21</v>
      </c>
      <c r="N272">
        <v>5</v>
      </c>
      <c r="O272" t="s">
        <v>22</v>
      </c>
      <c r="P272">
        <v>4869.47</v>
      </c>
      <c r="Q272" t="s">
        <v>42</v>
      </c>
      <c r="R272" t="s">
        <v>43</v>
      </c>
      <c r="S272">
        <v>302001</v>
      </c>
      <c r="T272" t="s">
        <v>25</v>
      </c>
      <c r="U272" t="s">
        <v>44</v>
      </c>
    </row>
    <row r="273" spans="1:21" x14ac:dyDescent="0.3">
      <c r="A273">
        <v>272</v>
      </c>
      <c r="B273" t="s">
        <v>1046</v>
      </c>
      <c r="C273" t="s">
        <v>1047</v>
      </c>
      <c r="D273" t="s">
        <v>15</v>
      </c>
      <c r="E273">
        <v>39</v>
      </c>
      <c r="F273" t="str">
        <f t="shared" si="8"/>
        <v>Adult</v>
      </c>
      <c r="G273" t="s">
        <v>1048</v>
      </c>
      <c r="H273" t="str">
        <f t="shared" si="9"/>
        <v>Oct</v>
      </c>
      <c r="I273" t="s">
        <v>60</v>
      </c>
      <c r="J273" t="s">
        <v>31</v>
      </c>
      <c r="K273" t="s">
        <v>1049</v>
      </c>
      <c r="L273" t="s">
        <v>107</v>
      </c>
      <c r="M273" t="s">
        <v>21</v>
      </c>
      <c r="N273">
        <v>2</v>
      </c>
      <c r="O273" t="s">
        <v>22</v>
      </c>
      <c r="P273">
        <v>2723.81</v>
      </c>
      <c r="Q273" t="s">
        <v>42</v>
      </c>
      <c r="R273" t="s">
        <v>43</v>
      </c>
      <c r="S273">
        <v>302001</v>
      </c>
      <c r="T273" t="s">
        <v>25</v>
      </c>
      <c r="U273" t="s">
        <v>44</v>
      </c>
    </row>
    <row r="274" spans="1:21" x14ac:dyDescent="0.3">
      <c r="A274">
        <v>273</v>
      </c>
      <c r="B274" t="s">
        <v>1050</v>
      </c>
      <c r="C274" t="s">
        <v>662</v>
      </c>
      <c r="D274" t="s">
        <v>29</v>
      </c>
      <c r="E274">
        <v>51</v>
      </c>
      <c r="F274" t="str">
        <f t="shared" si="8"/>
        <v>Senior</v>
      </c>
      <c r="G274" t="s">
        <v>438</v>
      </c>
      <c r="H274" t="str">
        <f t="shared" si="9"/>
        <v>Sep</v>
      </c>
      <c r="I274" t="s">
        <v>60</v>
      </c>
      <c r="J274" t="s">
        <v>31</v>
      </c>
      <c r="K274" t="s">
        <v>1051</v>
      </c>
      <c r="L274" t="s">
        <v>56</v>
      </c>
      <c r="M274" t="s">
        <v>21</v>
      </c>
      <c r="N274">
        <v>3</v>
      </c>
      <c r="O274" t="s">
        <v>22</v>
      </c>
      <c r="P274">
        <v>4170.9399999999996</v>
      </c>
      <c r="Q274" t="s">
        <v>74</v>
      </c>
      <c r="R274" t="s">
        <v>75</v>
      </c>
      <c r="S274">
        <v>226001</v>
      </c>
      <c r="T274" t="s">
        <v>25</v>
      </c>
      <c r="U274" t="s">
        <v>44</v>
      </c>
    </row>
    <row r="275" spans="1:21" x14ac:dyDescent="0.3">
      <c r="A275">
        <v>274</v>
      </c>
      <c r="B275" t="s">
        <v>1052</v>
      </c>
      <c r="C275" t="s">
        <v>1053</v>
      </c>
      <c r="D275" t="s">
        <v>15</v>
      </c>
      <c r="E275">
        <v>43</v>
      </c>
      <c r="F275" t="str">
        <f t="shared" si="8"/>
        <v>Adult</v>
      </c>
      <c r="G275" t="s">
        <v>902</v>
      </c>
      <c r="H275" t="str">
        <f t="shared" si="9"/>
        <v>Dec</v>
      </c>
      <c r="I275" t="s">
        <v>60</v>
      </c>
      <c r="J275" t="s">
        <v>31</v>
      </c>
      <c r="K275" t="s">
        <v>1054</v>
      </c>
      <c r="L275" t="s">
        <v>107</v>
      </c>
      <c r="M275" t="s">
        <v>50</v>
      </c>
      <c r="N275">
        <v>4</v>
      </c>
      <c r="O275" t="s">
        <v>22</v>
      </c>
      <c r="P275">
        <v>905.77</v>
      </c>
      <c r="Q275" t="s">
        <v>42</v>
      </c>
      <c r="R275" t="s">
        <v>43</v>
      </c>
      <c r="S275">
        <v>302001</v>
      </c>
      <c r="T275" t="s">
        <v>25</v>
      </c>
      <c r="U275" t="s">
        <v>44</v>
      </c>
    </row>
    <row r="276" spans="1:21" x14ac:dyDescent="0.3">
      <c r="A276">
        <v>275</v>
      </c>
      <c r="B276" t="s">
        <v>1055</v>
      </c>
      <c r="C276" t="s">
        <v>1056</v>
      </c>
      <c r="D276" t="s">
        <v>15</v>
      </c>
      <c r="E276">
        <v>28</v>
      </c>
      <c r="F276" t="str">
        <f t="shared" si="8"/>
        <v>Teenager</v>
      </c>
      <c r="G276" t="s">
        <v>564</v>
      </c>
      <c r="H276" t="str">
        <f t="shared" si="9"/>
        <v>Apr</v>
      </c>
      <c r="I276" t="s">
        <v>60</v>
      </c>
      <c r="J276" t="s">
        <v>31</v>
      </c>
      <c r="K276" t="s">
        <v>1057</v>
      </c>
      <c r="L276" t="s">
        <v>20</v>
      </c>
      <c r="M276" t="s">
        <v>85</v>
      </c>
      <c r="N276">
        <v>3</v>
      </c>
      <c r="O276" t="s">
        <v>22</v>
      </c>
      <c r="P276">
        <v>906.3</v>
      </c>
      <c r="Q276" t="s">
        <v>74</v>
      </c>
      <c r="R276" t="s">
        <v>75</v>
      </c>
      <c r="S276">
        <v>226001</v>
      </c>
      <c r="T276" t="s">
        <v>25</v>
      </c>
      <c r="U276" t="s">
        <v>44</v>
      </c>
    </row>
    <row r="277" spans="1:21" x14ac:dyDescent="0.3">
      <c r="A277">
        <v>276</v>
      </c>
      <c r="B277" t="s">
        <v>1058</v>
      </c>
      <c r="C277" t="s">
        <v>1059</v>
      </c>
      <c r="D277" t="s">
        <v>15</v>
      </c>
      <c r="E277">
        <v>34</v>
      </c>
      <c r="F277" t="str">
        <f t="shared" si="8"/>
        <v>Adult</v>
      </c>
      <c r="G277" t="s">
        <v>1060</v>
      </c>
      <c r="H277" t="str">
        <f t="shared" si="9"/>
        <v>Jan</v>
      </c>
      <c r="I277" t="s">
        <v>60</v>
      </c>
      <c r="J277" t="s">
        <v>31</v>
      </c>
      <c r="K277" t="s">
        <v>1061</v>
      </c>
      <c r="L277" t="s">
        <v>56</v>
      </c>
      <c r="M277" t="s">
        <v>34</v>
      </c>
      <c r="N277">
        <v>3</v>
      </c>
      <c r="O277" t="s">
        <v>22</v>
      </c>
      <c r="P277">
        <v>3588.73</v>
      </c>
      <c r="Q277" t="s">
        <v>23</v>
      </c>
      <c r="R277" t="s">
        <v>24</v>
      </c>
      <c r="S277">
        <v>400001</v>
      </c>
      <c r="T277" t="s">
        <v>25</v>
      </c>
      <c r="U277" t="s">
        <v>44</v>
      </c>
    </row>
    <row r="278" spans="1:21" x14ac:dyDescent="0.3">
      <c r="A278">
        <v>277</v>
      </c>
      <c r="B278" t="s">
        <v>1062</v>
      </c>
      <c r="C278" t="s">
        <v>1063</v>
      </c>
      <c r="D278" t="s">
        <v>15</v>
      </c>
      <c r="E278">
        <v>39</v>
      </c>
      <c r="F278" t="str">
        <f t="shared" si="8"/>
        <v>Adult</v>
      </c>
      <c r="G278" t="s">
        <v>373</v>
      </c>
      <c r="H278" t="str">
        <f t="shared" si="9"/>
        <v>Sep</v>
      </c>
      <c r="I278" t="s">
        <v>60</v>
      </c>
      <c r="J278" t="s">
        <v>31</v>
      </c>
      <c r="K278" t="s">
        <v>1064</v>
      </c>
      <c r="L278" t="s">
        <v>20</v>
      </c>
      <c r="M278" t="s">
        <v>50</v>
      </c>
      <c r="N278">
        <v>4</v>
      </c>
      <c r="O278" t="s">
        <v>22</v>
      </c>
      <c r="P278">
        <v>3837.38</v>
      </c>
      <c r="Q278" t="s">
        <v>74</v>
      </c>
      <c r="R278" t="s">
        <v>75</v>
      </c>
      <c r="S278">
        <v>226001</v>
      </c>
      <c r="T278" t="s">
        <v>25</v>
      </c>
      <c r="U278" t="s">
        <v>26</v>
      </c>
    </row>
    <row r="279" spans="1:21" x14ac:dyDescent="0.3">
      <c r="A279">
        <v>278</v>
      </c>
      <c r="B279" t="s">
        <v>1065</v>
      </c>
      <c r="C279" t="s">
        <v>1066</v>
      </c>
      <c r="D279" t="s">
        <v>29</v>
      </c>
      <c r="E279">
        <v>24</v>
      </c>
      <c r="F279" t="str">
        <f t="shared" si="8"/>
        <v>Teenager</v>
      </c>
      <c r="G279" t="s">
        <v>958</v>
      </c>
      <c r="H279" t="str">
        <f t="shared" si="9"/>
        <v>Sep</v>
      </c>
      <c r="I279" t="s">
        <v>60</v>
      </c>
      <c r="J279" t="s">
        <v>31</v>
      </c>
      <c r="K279" t="s">
        <v>1067</v>
      </c>
      <c r="L279" t="s">
        <v>107</v>
      </c>
      <c r="M279" t="s">
        <v>34</v>
      </c>
      <c r="N279">
        <v>5</v>
      </c>
      <c r="O279" t="s">
        <v>22</v>
      </c>
      <c r="P279">
        <v>1637.6</v>
      </c>
      <c r="Q279" t="s">
        <v>35</v>
      </c>
      <c r="R279" t="s">
        <v>36</v>
      </c>
      <c r="S279">
        <v>560001</v>
      </c>
      <c r="T279" t="s">
        <v>25</v>
      </c>
      <c r="U279" t="s">
        <v>44</v>
      </c>
    </row>
    <row r="280" spans="1:21" x14ac:dyDescent="0.3">
      <c r="A280">
        <v>279</v>
      </c>
      <c r="B280" t="s">
        <v>1068</v>
      </c>
      <c r="C280" t="s">
        <v>1069</v>
      </c>
      <c r="D280" t="s">
        <v>29</v>
      </c>
      <c r="E280">
        <v>34</v>
      </c>
      <c r="F280" t="str">
        <f t="shared" si="8"/>
        <v>Adult</v>
      </c>
      <c r="G280" t="s">
        <v>1070</v>
      </c>
      <c r="H280" t="str">
        <f t="shared" si="9"/>
        <v>Jan</v>
      </c>
      <c r="I280" t="s">
        <v>60</v>
      </c>
      <c r="J280" t="s">
        <v>31</v>
      </c>
      <c r="K280" t="s">
        <v>1071</v>
      </c>
      <c r="L280" t="s">
        <v>56</v>
      </c>
      <c r="M280" t="s">
        <v>21</v>
      </c>
      <c r="N280">
        <v>3</v>
      </c>
      <c r="O280" t="s">
        <v>22</v>
      </c>
      <c r="P280">
        <v>2953.16</v>
      </c>
      <c r="Q280" t="s">
        <v>35</v>
      </c>
      <c r="R280" t="s">
        <v>36</v>
      </c>
      <c r="S280">
        <v>560001</v>
      </c>
      <c r="T280" t="s">
        <v>25</v>
      </c>
      <c r="U280" t="s">
        <v>44</v>
      </c>
    </row>
    <row r="281" spans="1:21" x14ac:dyDescent="0.3">
      <c r="A281">
        <v>280</v>
      </c>
      <c r="B281" t="s">
        <v>1072</v>
      </c>
      <c r="C281" t="s">
        <v>1073</v>
      </c>
      <c r="D281" t="s">
        <v>15</v>
      </c>
      <c r="E281">
        <v>49</v>
      </c>
      <c r="F281" t="str">
        <f t="shared" si="8"/>
        <v>Adult</v>
      </c>
      <c r="G281" t="s">
        <v>580</v>
      </c>
      <c r="H281" t="str">
        <f t="shared" si="9"/>
        <v>May</v>
      </c>
      <c r="I281" t="s">
        <v>60</v>
      </c>
      <c r="J281" t="s">
        <v>31</v>
      </c>
      <c r="K281" t="s">
        <v>1074</v>
      </c>
      <c r="L281" t="s">
        <v>73</v>
      </c>
      <c r="M281" t="s">
        <v>34</v>
      </c>
      <c r="N281">
        <v>1</v>
      </c>
      <c r="O281" t="s">
        <v>22</v>
      </c>
      <c r="P281">
        <v>2748.98</v>
      </c>
      <c r="Q281" t="s">
        <v>74</v>
      </c>
      <c r="R281" t="s">
        <v>75</v>
      </c>
      <c r="S281">
        <v>226001</v>
      </c>
      <c r="T281" t="s">
        <v>25</v>
      </c>
      <c r="U281" t="s">
        <v>44</v>
      </c>
    </row>
    <row r="282" spans="1:21" x14ac:dyDescent="0.3">
      <c r="A282">
        <v>281</v>
      </c>
      <c r="B282" t="s">
        <v>1075</v>
      </c>
      <c r="C282" t="s">
        <v>1076</v>
      </c>
      <c r="D282" t="s">
        <v>29</v>
      </c>
      <c r="E282">
        <v>41</v>
      </c>
      <c r="F282" t="str">
        <f t="shared" si="8"/>
        <v>Adult</v>
      </c>
      <c r="G282" t="s">
        <v>1077</v>
      </c>
      <c r="H282" t="str">
        <f t="shared" si="9"/>
        <v>Apr</v>
      </c>
      <c r="I282" t="s">
        <v>60</v>
      </c>
      <c r="J282" t="s">
        <v>31</v>
      </c>
      <c r="K282" t="s">
        <v>1078</v>
      </c>
      <c r="L282" t="s">
        <v>107</v>
      </c>
      <c r="M282" t="s">
        <v>21</v>
      </c>
      <c r="N282">
        <v>3</v>
      </c>
      <c r="O282" t="s">
        <v>22</v>
      </c>
      <c r="P282">
        <v>4733.3500000000004</v>
      </c>
      <c r="Q282" t="s">
        <v>23</v>
      </c>
      <c r="R282" t="s">
        <v>24</v>
      </c>
      <c r="S282">
        <v>400001</v>
      </c>
      <c r="T282" t="s">
        <v>25</v>
      </c>
      <c r="U282" t="s">
        <v>44</v>
      </c>
    </row>
    <row r="283" spans="1:21" x14ac:dyDescent="0.3">
      <c r="A283">
        <v>282</v>
      </c>
      <c r="B283" t="s">
        <v>1079</v>
      </c>
      <c r="C283" t="s">
        <v>1080</v>
      </c>
      <c r="D283" t="s">
        <v>15</v>
      </c>
      <c r="E283">
        <v>53</v>
      </c>
      <c r="F283" t="str">
        <f t="shared" si="8"/>
        <v>Senior</v>
      </c>
      <c r="G283" t="s">
        <v>524</v>
      </c>
      <c r="H283" t="str">
        <f t="shared" si="9"/>
        <v>Mar</v>
      </c>
      <c r="I283" t="s">
        <v>60</v>
      </c>
      <c r="J283" t="s">
        <v>31</v>
      </c>
      <c r="K283" t="s">
        <v>1081</v>
      </c>
      <c r="L283" t="s">
        <v>62</v>
      </c>
      <c r="M283" t="s">
        <v>21</v>
      </c>
      <c r="N283">
        <v>2</v>
      </c>
      <c r="O283" t="s">
        <v>22</v>
      </c>
      <c r="P283">
        <v>2752.73</v>
      </c>
      <c r="Q283" t="s">
        <v>74</v>
      </c>
      <c r="R283" t="s">
        <v>75</v>
      </c>
      <c r="S283">
        <v>226001</v>
      </c>
      <c r="T283" t="s">
        <v>25</v>
      </c>
      <c r="U283" t="s">
        <v>26</v>
      </c>
    </row>
    <row r="284" spans="1:21" x14ac:dyDescent="0.3">
      <c r="A284">
        <v>283</v>
      </c>
      <c r="B284" t="s">
        <v>1082</v>
      </c>
      <c r="C284" t="s">
        <v>1083</v>
      </c>
      <c r="D284" t="s">
        <v>15</v>
      </c>
      <c r="E284">
        <v>20</v>
      </c>
      <c r="F284" t="str">
        <f t="shared" si="8"/>
        <v>Teenager</v>
      </c>
      <c r="G284" t="s">
        <v>576</v>
      </c>
      <c r="H284" t="str">
        <f t="shared" si="9"/>
        <v>Jan</v>
      </c>
      <c r="I284" t="s">
        <v>60</v>
      </c>
      <c r="J284" t="s">
        <v>31</v>
      </c>
      <c r="K284" t="s">
        <v>1084</v>
      </c>
      <c r="L284" t="s">
        <v>33</v>
      </c>
      <c r="M284" t="s">
        <v>34</v>
      </c>
      <c r="N284">
        <v>2</v>
      </c>
      <c r="O284" t="s">
        <v>22</v>
      </c>
      <c r="P284">
        <v>4343.13</v>
      </c>
      <c r="Q284" t="s">
        <v>42</v>
      </c>
      <c r="R284" t="s">
        <v>43</v>
      </c>
      <c r="S284">
        <v>302001</v>
      </c>
      <c r="T284" t="s">
        <v>25</v>
      </c>
      <c r="U284" t="s">
        <v>44</v>
      </c>
    </row>
    <row r="285" spans="1:21" x14ac:dyDescent="0.3">
      <c r="A285">
        <v>284</v>
      </c>
      <c r="B285" t="s">
        <v>1085</v>
      </c>
      <c r="C285" t="s">
        <v>1086</v>
      </c>
      <c r="D285" t="s">
        <v>15</v>
      </c>
      <c r="E285">
        <v>32</v>
      </c>
      <c r="F285" t="str">
        <f t="shared" si="8"/>
        <v>Adult</v>
      </c>
      <c r="G285" t="s">
        <v>1087</v>
      </c>
      <c r="H285" t="str">
        <f t="shared" si="9"/>
        <v>Oct</v>
      </c>
      <c r="I285" t="s">
        <v>60</v>
      </c>
      <c r="J285" t="s">
        <v>31</v>
      </c>
      <c r="K285" t="s">
        <v>1088</v>
      </c>
      <c r="L285" t="s">
        <v>33</v>
      </c>
      <c r="M285" t="s">
        <v>85</v>
      </c>
      <c r="N285">
        <v>3</v>
      </c>
      <c r="O285" t="s">
        <v>22</v>
      </c>
      <c r="P285">
        <v>4244.4799999999996</v>
      </c>
      <c r="Q285" t="s">
        <v>35</v>
      </c>
      <c r="R285" t="s">
        <v>36</v>
      </c>
      <c r="S285">
        <v>560001</v>
      </c>
      <c r="T285" t="s">
        <v>25</v>
      </c>
      <c r="U285" t="s">
        <v>26</v>
      </c>
    </row>
    <row r="286" spans="1:21" x14ac:dyDescent="0.3">
      <c r="A286">
        <v>285</v>
      </c>
      <c r="B286" t="s">
        <v>1089</v>
      </c>
      <c r="C286" t="s">
        <v>1090</v>
      </c>
      <c r="D286" t="s">
        <v>15</v>
      </c>
      <c r="E286">
        <v>53</v>
      </c>
      <c r="F286" t="str">
        <f t="shared" si="8"/>
        <v>Senior</v>
      </c>
      <c r="G286" t="s">
        <v>1091</v>
      </c>
      <c r="H286" t="str">
        <f t="shared" si="9"/>
        <v>Aug</v>
      </c>
      <c r="I286" t="s">
        <v>60</v>
      </c>
      <c r="J286" t="s">
        <v>31</v>
      </c>
      <c r="K286" t="s">
        <v>1092</v>
      </c>
      <c r="L286" t="s">
        <v>73</v>
      </c>
      <c r="M286" t="s">
        <v>85</v>
      </c>
      <c r="N286">
        <v>2</v>
      </c>
      <c r="O286" t="s">
        <v>22</v>
      </c>
      <c r="P286">
        <v>3363.15</v>
      </c>
      <c r="Q286" t="s">
        <v>74</v>
      </c>
      <c r="R286" t="s">
        <v>75</v>
      </c>
      <c r="S286">
        <v>226001</v>
      </c>
      <c r="T286" t="s">
        <v>25</v>
      </c>
      <c r="U286" t="s">
        <v>26</v>
      </c>
    </row>
    <row r="287" spans="1:21" x14ac:dyDescent="0.3">
      <c r="A287">
        <v>286</v>
      </c>
      <c r="B287" t="s">
        <v>1093</v>
      </c>
      <c r="C287" t="s">
        <v>1094</v>
      </c>
      <c r="D287" t="s">
        <v>29</v>
      </c>
      <c r="E287">
        <v>45</v>
      </c>
      <c r="F287" t="str">
        <f t="shared" si="8"/>
        <v>Adult</v>
      </c>
      <c r="G287" t="s">
        <v>1095</v>
      </c>
      <c r="H287" t="str">
        <f t="shared" si="9"/>
        <v>Sep</v>
      </c>
      <c r="I287" t="s">
        <v>60</v>
      </c>
      <c r="J287" t="s">
        <v>31</v>
      </c>
      <c r="K287" t="s">
        <v>1096</v>
      </c>
      <c r="L287" t="s">
        <v>62</v>
      </c>
      <c r="M287" t="s">
        <v>50</v>
      </c>
      <c r="N287">
        <v>4</v>
      </c>
      <c r="O287" t="s">
        <v>22</v>
      </c>
      <c r="P287">
        <v>2193.37</v>
      </c>
      <c r="Q287" t="s">
        <v>74</v>
      </c>
      <c r="R287" t="s">
        <v>75</v>
      </c>
      <c r="S287">
        <v>226001</v>
      </c>
      <c r="T287" t="s">
        <v>25</v>
      </c>
      <c r="U287" t="s">
        <v>26</v>
      </c>
    </row>
    <row r="288" spans="1:21" x14ac:dyDescent="0.3">
      <c r="A288">
        <v>287</v>
      </c>
      <c r="B288" t="s">
        <v>1097</v>
      </c>
      <c r="C288" t="s">
        <v>1098</v>
      </c>
      <c r="D288" t="s">
        <v>29</v>
      </c>
      <c r="E288">
        <v>28</v>
      </c>
      <c r="F288" t="str">
        <f t="shared" si="8"/>
        <v>Teenager</v>
      </c>
      <c r="G288" t="s">
        <v>1048</v>
      </c>
      <c r="H288" t="str">
        <f t="shared" si="9"/>
        <v>Oct</v>
      </c>
      <c r="I288" t="s">
        <v>60</v>
      </c>
      <c r="J288" t="s">
        <v>31</v>
      </c>
      <c r="K288" t="s">
        <v>1099</v>
      </c>
      <c r="L288" t="s">
        <v>107</v>
      </c>
      <c r="M288" t="s">
        <v>50</v>
      </c>
      <c r="N288">
        <v>1</v>
      </c>
      <c r="O288" t="s">
        <v>22</v>
      </c>
      <c r="P288">
        <v>2445.21</v>
      </c>
      <c r="Q288" t="s">
        <v>23</v>
      </c>
      <c r="R288" t="s">
        <v>24</v>
      </c>
      <c r="S288">
        <v>400001</v>
      </c>
      <c r="T288" t="s">
        <v>25</v>
      </c>
      <c r="U288" t="s">
        <v>26</v>
      </c>
    </row>
    <row r="289" spans="1:21" x14ac:dyDescent="0.3">
      <c r="A289">
        <v>288</v>
      </c>
      <c r="B289" t="s">
        <v>1100</v>
      </c>
      <c r="C289" t="s">
        <v>905</v>
      </c>
      <c r="D289" t="s">
        <v>15</v>
      </c>
      <c r="E289">
        <v>30</v>
      </c>
      <c r="F289" t="str">
        <f t="shared" si="8"/>
        <v>Adult</v>
      </c>
      <c r="G289" t="s">
        <v>207</v>
      </c>
      <c r="H289" t="str">
        <f t="shared" si="9"/>
        <v>Jan</v>
      </c>
      <c r="I289" t="s">
        <v>60</v>
      </c>
      <c r="J289" t="s">
        <v>31</v>
      </c>
      <c r="K289" t="s">
        <v>1101</v>
      </c>
      <c r="L289" t="s">
        <v>33</v>
      </c>
      <c r="M289" t="s">
        <v>50</v>
      </c>
      <c r="N289">
        <v>2</v>
      </c>
      <c r="O289" t="s">
        <v>22</v>
      </c>
      <c r="P289">
        <v>4866.3900000000003</v>
      </c>
      <c r="Q289" t="s">
        <v>51</v>
      </c>
      <c r="R289" t="s">
        <v>51</v>
      </c>
      <c r="S289">
        <v>110001</v>
      </c>
      <c r="T289" t="s">
        <v>25</v>
      </c>
      <c r="U289" t="s">
        <v>44</v>
      </c>
    </row>
    <row r="290" spans="1:21" x14ac:dyDescent="0.3">
      <c r="A290">
        <v>289</v>
      </c>
      <c r="B290" t="s">
        <v>1102</v>
      </c>
      <c r="C290" t="s">
        <v>261</v>
      </c>
      <c r="D290" t="s">
        <v>15</v>
      </c>
      <c r="E290">
        <v>36</v>
      </c>
      <c r="F290" t="str">
        <f t="shared" si="8"/>
        <v>Adult</v>
      </c>
      <c r="G290" t="s">
        <v>114</v>
      </c>
      <c r="H290" t="str">
        <f t="shared" si="9"/>
        <v>Mar</v>
      </c>
      <c r="I290" t="s">
        <v>60</v>
      </c>
      <c r="J290" t="s">
        <v>31</v>
      </c>
      <c r="K290" t="s">
        <v>1103</v>
      </c>
      <c r="L290" t="s">
        <v>56</v>
      </c>
      <c r="M290" t="s">
        <v>50</v>
      </c>
      <c r="N290">
        <v>2</v>
      </c>
      <c r="O290" t="s">
        <v>22</v>
      </c>
      <c r="P290">
        <v>3367.15</v>
      </c>
      <c r="Q290" t="s">
        <v>23</v>
      </c>
      <c r="R290" t="s">
        <v>24</v>
      </c>
      <c r="S290">
        <v>400001</v>
      </c>
      <c r="T290" t="s">
        <v>25</v>
      </c>
      <c r="U290" t="s">
        <v>26</v>
      </c>
    </row>
    <row r="291" spans="1:21" x14ac:dyDescent="0.3">
      <c r="A291">
        <v>290</v>
      </c>
      <c r="B291" t="s">
        <v>1104</v>
      </c>
      <c r="C291" t="s">
        <v>1105</v>
      </c>
      <c r="D291" t="s">
        <v>15</v>
      </c>
      <c r="E291">
        <v>52</v>
      </c>
      <c r="F291" t="str">
        <f t="shared" si="8"/>
        <v>Senior</v>
      </c>
      <c r="G291" t="s">
        <v>163</v>
      </c>
      <c r="H291" t="str">
        <f t="shared" si="9"/>
        <v>Mar</v>
      </c>
      <c r="I291" t="s">
        <v>60</v>
      </c>
      <c r="J291" t="s">
        <v>31</v>
      </c>
      <c r="K291" t="s">
        <v>1106</v>
      </c>
      <c r="L291" t="s">
        <v>107</v>
      </c>
      <c r="M291" t="s">
        <v>34</v>
      </c>
      <c r="N291">
        <v>2</v>
      </c>
      <c r="O291" t="s">
        <v>22</v>
      </c>
      <c r="P291">
        <v>2865.38</v>
      </c>
      <c r="Q291" t="s">
        <v>23</v>
      </c>
      <c r="R291" t="s">
        <v>24</v>
      </c>
      <c r="S291">
        <v>400001</v>
      </c>
      <c r="T291" t="s">
        <v>25</v>
      </c>
      <c r="U291" t="s">
        <v>44</v>
      </c>
    </row>
    <row r="292" spans="1:21" x14ac:dyDescent="0.3">
      <c r="A292">
        <v>291</v>
      </c>
      <c r="B292" t="s">
        <v>1107</v>
      </c>
      <c r="C292" t="s">
        <v>1108</v>
      </c>
      <c r="D292" t="s">
        <v>29</v>
      </c>
      <c r="E292">
        <v>38</v>
      </c>
      <c r="F292" t="str">
        <f t="shared" si="8"/>
        <v>Adult</v>
      </c>
      <c r="G292" t="s">
        <v>1109</v>
      </c>
      <c r="H292" t="str">
        <f t="shared" si="9"/>
        <v>Dec</v>
      </c>
      <c r="I292" t="s">
        <v>60</v>
      </c>
      <c r="J292" t="s">
        <v>31</v>
      </c>
      <c r="K292" t="s">
        <v>1110</v>
      </c>
      <c r="L292" t="s">
        <v>33</v>
      </c>
      <c r="M292" t="s">
        <v>34</v>
      </c>
      <c r="N292">
        <v>1</v>
      </c>
      <c r="O292" t="s">
        <v>22</v>
      </c>
      <c r="P292">
        <v>2192.67</v>
      </c>
      <c r="Q292" t="s">
        <v>35</v>
      </c>
      <c r="R292" t="s">
        <v>36</v>
      </c>
      <c r="S292">
        <v>560001</v>
      </c>
      <c r="T292" t="s">
        <v>25</v>
      </c>
      <c r="U292" t="s">
        <v>44</v>
      </c>
    </row>
    <row r="293" spans="1:21" x14ac:dyDescent="0.3">
      <c r="A293">
        <v>292</v>
      </c>
      <c r="B293" t="s">
        <v>1111</v>
      </c>
      <c r="C293" t="s">
        <v>1112</v>
      </c>
      <c r="D293" t="s">
        <v>29</v>
      </c>
      <c r="E293">
        <v>52</v>
      </c>
      <c r="F293" t="str">
        <f t="shared" si="8"/>
        <v>Senior</v>
      </c>
      <c r="G293" t="s">
        <v>316</v>
      </c>
      <c r="H293" t="str">
        <f t="shared" si="9"/>
        <v>Jan</v>
      </c>
      <c r="I293" t="s">
        <v>60</v>
      </c>
      <c r="J293" t="s">
        <v>31</v>
      </c>
      <c r="K293" t="s">
        <v>1113</v>
      </c>
      <c r="L293" t="s">
        <v>56</v>
      </c>
      <c r="M293" t="s">
        <v>34</v>
      </c>
      <c r="N293">
        <v>2</v>
      </c>
      <c r="O293" t="s">
        <v>22</v>
      </c>
      <c r="P293">
        <v>1165.71</v>
      </c>
      <c r="Q293" t="s">
        <v>42</v>
      </c>
      <c r="R293" t="s">
        <v>43</v>
      </c>
      <c r="S293">
        <v>302001</v>
      </c>
      <c r="T293" t="s">
        <v>25</v>
      </c>
      <c r="U293" t="s">
        <v>44</v>
      </c>
    </row>
    <row r="294" spans="1:21" x14ac:dyDescent="0.3">
      <c r="A294">
        <v>293</v>
      </c>
      <c r="B294" t="s">
        <v>1114</v>
      </c>
      <c r="C294" t="s">
        <v>1115</v>
      </c>
      <c r="D294" t="s">
        <v>15</v>
      </c>
      <c r="E294">
        <v>28</v>
      </c>
      <c r="F294" t="str">
        <f t="shared" si="8"/>
        <v>Teenager</v>
      </c>
      <c r="G294" t="s">
        <v>230</v>
      </c>
      <c r="H294" t="str">
        <f t="shared" si="9"/>
        <v>Jan</v>
      </c>
      <c r="I294" t="s">
        <v>60</v>
      </c>
      <c r="J294" t="s">
        <v>31</v>
      </c>
      <c r="K294" t="s">
        <v>1116</v>
      </c>
      <c r="L294" t="s">
        <v>56</v>
      </c>
      <c r="M294" t="s">
        <v>21</v>
      </c>
      <c r="N294">
        <v>3</v>
      </c>
      <c r="O294" t="s">
        <v>22</v>
      </c>
      <c r="P294">
        <v>2181.58</v>
      </c>
      <c r="Q294" t="s">
        <v>23</v>
      </c>
      <c r="R294" t="s">
        <v>24</v>
      </c>
      <c r="S294">
        <v>400001</v>
      </c>
      <c r="T294" t="s">
        <v>25</v>
      </c>
      <c r="U294" t="s">
        <v>26</v>
      </c>
    </row>
    <row r="295" spans="1:21" x14ac:dyDescent="0.3">
      <c r="A295">
        <v>294</v>
      </c>
      <c r="B295" t="s">
        <v>1117</v>
      </c>
      <c r="C295" t="s">
        <v>1118</v>
      </c>
      <c r="D295" t="s">
        <v>15</v>
      </c>
      <c r="E295">
        <v>30</v>
      </c>
      <c r="F295" t="str">
        <f t="shared" si="8"/>
        <v>Adult</v>
      </c>
      <c r="G295" t="s">
        <v>316</v>
      </c>
      <c r="H295" t="str">
        <f t="shared" si="9"/>
        <v>Jan</v>
      </c>
      <c r="I295" t="s">
        <v>60</v>
      </c>
      <c r="J295" t="s">
        <v>31</v>
      </c>
      <c r="K295" t="s">
        <v>1119</v>
      </c>
      <c r="L295" t="s">
        <v>62</v>
      </c>
      <c r="M295" t="s">
        <v>21</v>
      </c>
      <c r="N295">
        <v>2</v>
      </c>
      <c r="O295" t="s">
        <v>22</v>
      </c>
      <c r="P295">
        <v>979.52</v>
      </c>
      <c r="Q295" t="s">
        <v>51</v>
      </c>
      <c r="R295" t="s">
        <v>51</v>
      </c>
      <c r="S295">
        <v>110001</v>
      </c>
      <c r="T295" t="s">
        <v>25</v>
      </c>
      <c r="U295" t="s">
        <v>44</v>
      </c>
    </row>
    <row r="296" spans="1:21" x14ac:dyDescent="0.3">
      <c r="A296">
        <v>295</v>
      </c>
      <c r="B296" t="s">
        <v>1120</v>
      </c>
      <c r="C296" t="s">
        <v>1121</v>
      </c>
      <c r="D296" t="s">
        <v>15</v>
      </c>
      <c r="E296">
        <v>24</v>
      </c>
      <c r="F296" t="str">
        <f t="shared" si="8"/>
        <v>Teenager</v>
      </c>
      <c r="G296" t="s">
        <v>1122</v>
      </c>
      <c r="H296" t="str">
        <f t="shared" si="9"/>
        <v>Nov</v>
      </c>
      <c r="I296" t="s">
        <v>60</v>
      </c>
      <c r="J296" t="s">
        <v>31</v>
      </c>
      <c r="K296" t="s">
        <v>1123</v>
      </c>
      <c r="L296" t="s">
        <v>56</v>
      </c>
      <c r="M296" t="s">
        <v>21</v>
      </c>
      <c r="N296">
        <v>5</v>
      </c>
      <c r="O296" t="s">
        <v>22</v>
      </c>
      <c r="P296">
        <v>4388.7700000000004</v>
      </c>
      <c r="Q296" t="s">
        <v>51</v>
      </c>
      <c r="R296" t="s">
        <v>51</v>
      </c>
      <c r="S296">
        <v>110001</v>
      </c>
      <c r="T296" t="s">
        <v>25</v>
      </c>
      <c r="U296" t="s">
        <v>26</v>
      </c>
    </row>
    <row r="297" spans="1:21" x14ac:dyDescent="0.3">
      <c r="A297">
        <v>296</v>
      </c>
      <c r="B297" t="s">
        <v>1124</v>
      </c>
      <c r="C297" t="s">
        <v>1125</v>
      </c>
      <c r="D297" t="s">
        <v>29</v>
      </c>
      <c r="E297">
        <v>34</v>
      </c>
      <c r="F297" t="str">
        <f t="shared" si="8"/>
        <v>Adult</v>
      </c>
      <c r="G297" t="s">
        <v>1077</v>
      </c>
      <c r="H297" t="str">
        <f t="shared" si="9"/>
        <v>Apr</v>
      </c>
      <c r="I297" t="s">
        <v>60</v>
      </c>
      <c r="J297" t="s">
        <v>31</v>
      </c>
      <c r="K297" t="s">
        <v>1126</v>
      </c>
      <c r="L297" t="s">
        <v>56</v>
      </c>
      <c r="M297" t="s">
        <v>50</v>
      </c>
      <c r="N297">
        <v>4</v>
      </c>
      <c r="O297" t="s">
        <v>22</v>
      </c>
      <c r="P297">
        <v>2784.39</v>
      </c>
      <c r="Q297" t="s">
        <v>74</v>
      </c>
      <c r="R297" t="s">
        <v>75</v>
      </c>
      <c r="S297">
        <v>226001</v>
      </c>
      <c r="T297" t="s">
        <v>25</v>
      </c>
      <c r="U297" t="s">
        <v>26</v>
      </c>
    </row>
    <row r="298" spans="1:21" x14ac:dyDescent="0.3">
      <c r="A298">
        <v>297</v>
      </c>
      <c r="B298" t="s">
        <v>1127</v>
      </c>
      <c r="C298" t="s">
        <v>1128</v>
      </c>
      <c r="D298" t="s">
        <v>15</v>
      </c>
      <c r="E298">
        <v>26</v>
      </c>
      <c r="F298" t="str">
        <f t="shared" si="8"/>
        <v>Teenager</v>
      </c>
      <c r="G298" t="s">
        <v>1129</v>
      </c>
      <c r="H298" t="str">
        <f t="shared" si="9"/>
        <v>Nov</v>
      </c>
      <c r="I298" t="s">
        <v>60</v>
      </c>
      <c r="J298" t="s">
        <v>31</v>
      </c>
      <c r="K298" t="s">
        <v>1130</v>
      </c>
      <c r="L298" t="s">
        <v>56</v>
      </c>
      <c r="M298" t="s">
        <v>34</v>
      </c>
      <c r="N298">
        <v>1</v>
      </c>
      <c r="O298" t="s">
        <v>22</v>
      </c>
      <c r="P298">
        <v>2719.57</v>
      </c>
      <c r="Q298" t="s">
        <v>35</v>
      </c>
      <c r="R298" t="s">
        <v>36</v>
      </c>
      <c r="S298">
        <v>560001</v>
      </c>
      <c r="T298" t="s">
        <v>25</v>
      </c>
      <c r="U298" t="s">
        <v>26</v>
      </c>
    </row>
    <row r="299" spans="1:21" x14ac:dyDescent="0.3">
      <c r="A299">
        <v>298</v>
      </c>
      <c r="B299" t="s">
        <v>1131</v>
      </c>
      <c r="C299" t="s">
        <v>1132</v>
      </c>
      <c r="D299" t="s">
        <v>29</v>
      </c>
      <c r="E299">
        <v>36</v>
      </c>
      <c r="F299" t="str">
        <f t="shared" si="8"/>
        <v>Adult</v>
      </c>
      <c r="G299" t="s">
        <v>842</v>
      </c>
      <c r="H299" t="str">
        <f t="shared" si="9"/>
        <v>Oct</v>
      </c>
      <c r="I299" t="s">
        <v>60</v>
      </c>
      <c r="J299" t="s">
        <v>31</v>
      </c>
      <c r="K299" t="s">
        <v>1133</v>
      </c>
      <c r="L299" t="s">
        <v>33</v>
      </c>
      <c r="M299" t="s">
        <v>21</v>
      </c>
      <c r="N299">
        <v>5</v>
      </c>
      <c r="O299" t="s">
        <v>22</v>
      </c>
      <c r="P299">
        <v>4739.66</v>
      </c>
      <c r="Q299" t="s">
        <v>74</v>
      </c>
      <c r="R299" t="s">
        <v>75</v>
      </c>
      <c r="S299">
        <v>226001</v>
      </c>
      <c r="T299" t="s">
        <v>25</v>
      </c>
      <c r="U299" t="s">
        <v>26</v>
      </c>
    </row>
    <row r="300" spans="1:21" x14ac:dyDescent="0.3">
      <c r="A300">
        <v>299</v>
      </c>
      <c r="B300" t="s">
        <v>1134</v>
      </c>
      <c r="C300" t="s">
        <v>1135</v>
      </c>
      <c r="D300" t="s">
        <v>29</v>
      </c>
      <c r="E300">
        <v>39</v>
      </c>
      <c r="F300" t="str">
        <f t="shared" si="8"/>
        <v>Adult</v>
      </c>
      <c r="G300" t="s">
        <v>1136</v>
      </c>
      <c r="H300" t="str">
        <f t="shared" si="9"/>
        <v>Jun</v>
      </c>
      <c r="I300" t="s">
        <v>60</v>
      </c>
      <c r="J300" t="s">
        <v>31</v>
      </c>
      <c r="K300" t="s">
        <v>1137</v>
      </c>
      <c r="L300" t="s">
        <v>73</v>
      </c>
      <c r="M300" t="s">
        <v>34</v>
      </c>
      <c r="N300">
        <v>5</v>
      </c>
      <c r="O300" t="s">
        <v>22</v>
      </c>
      <c r="P300">
        <v>310.45999999999998</v>
      </c>
      <c r="Q300" t="s">
        <v>35</v>
      </c>
      <c r="R300" t="s">
        <v>36</v>
      </c>
      <c r="S300">
        <v>560001</v>
      </c>
      <c r="T300" t="s">
        <v>25</v>
      </c>
      <c r="U300" t="s">
        <v>44</v>
      </c>
    </row>
    <row r="301" spans="1:21" x14ac:dyDescent="0.3">
      <c r="A301">
        <v>300</v>
      </c>
      <c r="B301" t="s">
        <v>1138</v>
      </c>
      <c r="C301" t="s">
        <v>1139</v>
      </c>
      <c r="D301" t="s">
        <v>15</v>
      </c>
      <c r="E301">
        <v>53</v>
      </c>
      <c r="F301" t="str">
        <f t="shared" si="8"/>
        <v>Senior</v>
      </c>
      <c r="G301" t="s">
        <v>1140</v>
      </c>
      <c r="H301" t="str">
        <f t="shared" si="9"/>
        <v>Jan</v>
      </c>
      <c r="I301" t="s">
        <v>60</v>
      </c>
      <c r="J301" t="s">
        <v>31</v>
      </c>
      <c r="K301" t="s">
        <v>1141</v>
      </c>
      <c r="L301" t="s">
        <v>62</v>
      </c>
      <c r="M301" t="s">
        <v>50</v>
      </c>
      <c r="N301">
        <v>1</v>
      </c>
      <c r="O301" t="s">
        <v>22</v>
      </c>
      <c r="P301">
        <v>2470.48</v>
      </c>
      <c r="Q301" t="s">
        <v>74</v>
      </c>
      <c r="R301" t="s">
        <v>75</v>
      </c>
      <c r="S301">
        <v>226001</v>
      </c>
      <c r="T301" t="s">
        <v>25</v>
      </c>
      <c r="U301" t="s">
        <v>26</v>
      </c>
    </row>
    <row r="302" spans="1:21" x14ac:dyDescent="0.3">
      <c r="A302">
        <v>301</v>
      </c>
      <c r="B302" t="s">
        <v>1142</v>
      </c>
      <c r="C302" t="s">
        <v>1143</v>
      </c>
      <c r="D302" t="s">
        <v>29</v>
      </c>
      <c r="E302">
        <v>51</v>
      </c>
      <c r="F302" t="str">
        <f t="shared" si="8"/>
        <v>Senior</v>
      </c>
      <c r="G302" t="s">
        <v>931</v>
      </c>
      <c r="H302" t="str">
        <f t="shared" si="9"/>
        <v>Jan</v>
      </c>
      <c r="I302" t="s">
        <v>60</v>
      </c>
      <c r="J302" t="s">
        <v>31</v>
      </c>
      <c r="K302" t="s">
        <v>1144</v>
      </c>
      <c r="L302" t="s">
        <v>107</v>
      </c>
      <c r="M302" t="s">
        <v>34</v>
      </c>
      <c r="N302">
        <v>4</v>
      </c>
      <c r="O302" t="s">
        <v>22</v>
      </c>
      <c r="P302">
        <v>2898.14</v>
      </c>
      <c r="Q302" t="s">
        <v>51</v>
      </c>
      <c r="R302" t="s">
        <v>51</v>
      </c>
      <c r="S302">
        <v>110001</v>
      </c>
      <c r="T302" t="s">
        <v>25</v>
      </c>
      <c r="U302" t="s">
        <v>26</v>
      </c>
    </row>
    <row r="303" spans="1:21" x14ac:dyDescent="0.3">
      <c r="A303">
        <v>302</v>
      </c>
      <c r="B303" t="s">
        <v>1145</v>
      </c>
      <c r="C303" t="s">
        <v>1146</v>
      </c>
      <c r="D303" t="s">
        <v>29</v>
      </c>
      <c r="E303">
        <v>39</v>
      </c>
      <c r="F303" t="str">
        <f t="shared" si="8"/>
        <v>Adult</v>
      </c>
      <c r="G303" t="s">
        <v>292</v>
      </c>
      <c r="H303" t="str">
        <f t="shared" si="9"/>
        <v>May</v>
      </c>
      <c r="I303" t="s">
        <v>60</v>
      </c>
      <c r="J303" t="s">
        <v>31</v>
      </c>
      <c r="K303" t="s">
        <v>1147</v>
      </c>
      <c r="L303" t="s">
        <v>20</v>
      </c>
      <c r="M303" t="s">
        <v>85</v>
      </c>
      <c r="N303">
        <v>3</v>
      </c>
      <c r="O303" t="s">
        <v>22</v>
      </c>
      <c r="P303">
        <v>2920.63</v>
      </c>
      <c r="Q303" t="s">
        <v>35</v>
      </c>
      <c r="R303" t="s">
        <v>36</v>
      </c>
      <c r="S303">
        <v>560001</v>
      </c>
      <c r="T303" t="s">
        <v>25</v>
      </c>
      <c r="U303" t="s">
        <v>26</v>
      </c>
    </row>
    <row r="304" spans="1:21" x14ac:dyDescent="0.3">
      <c r="A304">
        <v>303</v>
      </c>
      <c r="B304" t="s">
        <v>1148</v>
      </c>
      <c r="C304" t="s">
        <v>1149</v>
      </c>
      <c r="D304" t="s">
        <v>15</v>
      </c>
      <c r="E304">
        <v>53</v>
      </c>
      <c r="F304" t="str">
        <f t="shared" si="8"/>
        <v>Senior</v>
      </c>
      <c r="G304" t="s">
        <v>1150</v>
      </c>
      <c r="H304" t="str">
        <f t="shared" si="9"/>
        <v>Dec</v>
      </c>
      <c r="I304" t="s">
        <v>60</v>
      </c>
      <c r="J304" t="s">
        <v>31</v>
      </c>
      <c r="K304" t="s">
        <v>1151</v>
      </c>
      <c r="L304" t="s">
        <v>73</v>
      </c>
      <c r="M304" t="s">
        <v>50</v>
      </c>
      <c r="N304">
        <v>4</v>
      </c>
      <c r="O304" t="s">
        <v>22</v>
      </c>
      <c r="P304">
        <v>4975.21</v>
      </c>
      <c r="Q304" t="s">
        <v>51</v>
      </c>
      <c r="R304" t="s">
        <v>51</v>
      </c>
      <c r="S304">
        <v>110001</v>
      </c>
      <c r="T304" t="s">
        <v>25</v>
      </c>
      <c r="U304" t="s">
        <v>26</v>
      </c>
    </row>
    <row r="305" spans="1:21" x14ac:dyDescent="0.3">
      <c r="A305">
        <v>304</v>
      </c>
      <c r="B305" t="s">
        <v>1152</v>
      </c>
      <c r="C305" t="s">
        <v>1153</v>
      </c>
      <c r="D305" t="s">
        <v>29</v>
      </c>
      <c r="E305">
        <v>30</v>
      </c>
      <c r="F305" t="str">
        <f t="shared" si="8"/>
        <v>Adult</v>
      </c>
      <c r="G305" t="s">
        <v>1154</v>
      </c>
      <c r="H305" t="str">
        <f t="shared" si="9"/>
        <v>Mar</v>
      </c>
      <c r="I305" t="s">
        <v>60</v>
      </c>
      <c r="J305" t="s">
        <v>31</v>
      </c>
      <c r="K305" t="s">
        <v>1155</v>
      </c>
      <c r="L305" t="s">
        <v>33</v>
      </c>
      <c r="M305" t="s">
        <v>85</v>
      </c>
      <c r="N305">
        <v>3</v>
      </c>
      <c r="O305" t="s">
        <v>22</v>
      </c>
      <c r="P305">
        <v>3600.1</v>
      </c>
      <c r="Q305" t="s">
        <v>74</v>
      </c>
      <c r="R305" t="s">
        <v>75</v>
      </c>
      <c r="S305">
        <v>226001</v>
      </c>
      <c r="T305" t="s">
        <v>25</v>
      </c>
      <c r="U305" t="s">
        <v>26</v>
      </c>
    </row>
    <row r="306" spans="1:21" x14ac:dyDescent="0.3">
      <c r="A306">
        <v>305</v>
      </c>
      <c r="B306" t="s">
        <v>1156</v>
      </c>
      <c r="C306" t="s">
        <v>1157</v>
      </c>
      <c r="D306" t="s">
        <v>15</v>
      </c>
      <c r="E306">
        <v>42</v>
      </c>
      <c r="F306" t="str">
        <f t="shared" si="8"/>
        <v>Adult</v>
      </c>
      <c r="G306" t="s">
        <v>346</v>
      </c>
      <c r="H306" t="str">
        <f t="shared" si="9"/>
        <v>Aug</v>
      </c>
      <c r="I306" t="s">
        <v>60</v>
      </c>
      <c r="J306" t="s">
        <v>31</v>
      </c>
      <c r="K306" t="s">
        <v>1158</v>
      </c>
      <c r="L306" t="s">
        <v>56</v>
      </c>
      <c r="M306" t="s">
        <v>21</v>
      </c>
      <c r="N306">
        <v>1</v>
      </c>
      <c r="O306" t="s">
        <v>22</v>
      </c>
      <c r="P306">
        <v>4806.17</v>
      </c>
      <c r="Q306" t="s">
        <v>74</v>
      </c>
      <c r="R306" t="s">
        <v>75</v>
      </c>
      <c r="S306">
        <v>226001</v>
      </c>
      <c r="T306" t="s">
        <v>25</v>
      </c>
      <c r="U306" t="s">
        <v>26</v>
      </c>
    </row>
    <row r="307" spans="1:21" x14ac:dyDescent="0.3">
      <c r="A307">
        <v>306</v>
      </c>
      <c r="B307" t="s">
        <v>1159</v>
      </c>
      <c r="C307" t="s">
        <v>828</v>
      </c>
      <c r="D307" t="s">
        <v>15</v>
      </c>
      <c r="E307">
        <v>41</v>
      </c>
      <c r="F307" t="str">
        <f t="shared" si="8"/>
        <v>Adult</v>
      </c>
      <c r="G307" t="s">
        <v>1160</v>
      </c>
      <c r="H307" t="str">
        <f t="shared" si="9"/>
        <v>Nov</v>
      </c>
      <c r="I307" t="s">
        <v>60</v>
      </c>
      <c r="J307" t="s">
        <v>31</v>
      </c>
      <c r="K307" t="s">
        <v>1161</v>
      </c>
      <c r="L307" t="s">
        <v>56</v>
      </c>
      <c r="M307" t="s">
        <v>85</v>
      </c>
      <c r="N307">
        <v>3</v>
      </c>
      <c r="O307" t="s">
        <v>22</v>
      </c>
      <c r="P307">
        <v>2226.2600000000002</v>
      </c>
      <c r="Q307" t="s">
        <v>42</v>
      </c>
      <c r="R307" t="s">
        <v>43</v>
      </c>
      <c r="S307">
        <v>302001</v>
      </c>
      <c r="T307" t="s">
        <v>25</v>
      </c>
      <c r="U307" t="s">
        <v>44</v>
      </c>
    </row>
    <row r="308" spans="1:21" x14ac:dyDescent="0.3">
      <c r="A308">
        <v>307</v>
      </c>
      <c r="B308" t="s">
        <v>1162</v>
      </c>
      <c r="C308" t="s">
        <v>1163</v>
      </c>
      <c r="D308" t="s">
        <v>29</v>
      </c>
      <c r="E308">
        <v>34</v>
      </c>
      <c r="F308" t="str">
        <f t="shared" si="8"/>
        <v>Adult</v>
      </c>
      <c r="G308" t="s">
        <v>143</v>
      </c>
      <c r="H308" t="str">
        <f t="shared" si="9"/>
        <v>Dec</v>
      </c>
      <c r="I308" t="s">
        <v>60</v>
      </c>
      <c r="J308" t="s">
        <v>31</v>
      </c>
      <c r="K308" t="s">
        <v>1164</v>
      </c>
      <c r="L308" t="s">
        <v>107</v>
      </c>
      <c r="M308" t="s">
        <v>21</v>
      </c>
      <c r="N308">
        <v>4</v>
      </c>
      <c r="O308" t="s">
        <v>22</v>
      </c>
      <c r="P308">
        <v>2869.36</v>
      </c>
      <c r="Q308" t="s">
        <v>51</v>
      </c>
      <c r="R308" t="s">
        <v>51</v>
      </c>
      <c r="S308">
        <v>110001</v>
      </c>
      <c r="T308" t="s">
        <v>25</v>
      </c>
      <c r="U308" t="s">
        <v>44</v>
      </c>
    </row>
    <row r="309" spans="1:21" x14ac:dyDescent="0.3">
      <c r="A309">
        <v>308</v>
      </c>
      <c r="B309" t="s">
        <v>1165</v>
      </c>
      <c r="C309" t="s">
        <v>1166</v>
      </c>
      <c r="D309" t="s">
        <v>15</v>
      </c>
      <c r="E309">
        <v>52</v>
      </c>
      <c r="F309" t="str">
        <f t="shared" si="8"/>
        <v>Senior</v>
      </c>
      <c r="G309" t="s">
        <v>1091</v>
      </c>
      <c r="H309" t="str">
        <f t="shared" si="9"/>
        <v>Aug</v>
      </c>
      <c r="I309" t="s">
        <v>60</v>
      </c>
      <c r="J309" t="s">
        <v>31</v>
      </c>
      <c r="K309" t="s">
        <v>1167</v>
      </c>
      <c r="L309" t="s">
        <v>56</v>
      </c>
      <c r="M309" t="s">
        <v>50</v>
      </c>
      <c r="N309">
        <v>1</v>
      </c>
      <c r="O309" t="s">
        <v>22</v>
      </c>
      <c r="P309">
        <v>1505.38</v>
      </c>
      <c r="Q309" t="s">
        <v>23</v>
      </c>
      <c r="R309" t="s">
        <v>24</v>
      </c>
      <c r="S309">
        <v>400001</v>
      </c>
      <c r="T309" t="s">
        <v>25</v>
      </c>
      <c r="U309" t="s">
        <v>26</v>
      </c>
    </row>
    <row r="310" spans="1:21" x14ac:dyDescent="0.3">
      <c r="A310">
        <v>309</v>
      </c>
      <c r="B310" t="s">
        <v>1168</v>
      </c>
      <c r="C310" t="s">
        <v>1169</v>
      </c>
      <c r="D310" t="s">
        <v>29</v>
      </c>
      <c r="E310">
        <v>40</v>
      </c>
      <c r="F310" t="str">
        <f t="shared" si="8"/>
        <v>Adult</v>
      </c>
      <c r="G310" t="s">
        <v>1070</v>
      </c>
      <c r="H310" t="str">
        <f t="shared" si="9"/>
        <v>Jan</v>
      </c>
      <c r="I310" t="s">
        <v>60</v>
      </c>
      <c r="J310" t="s">
        <v>31</v>
      </c>
      <c r="K310" t="s">
        <v>1170</v>
      </c>
      <c r="L310" t="s">
        <v>62</v>
      </c>
      <c r="M310" t="s">
        <v>85</v>
      </c>
      <c r="N310">
        <v>3</v>
      </c>
      <c r="O310" t="s">
        <v>22</v>
      </c>
      <c r="P310">
        <v>2418.86</v>
      </c>
      <c r="Q310" t="s">
        <v>42</v>
      </c>
      <c r="R310" t="s">
        <v>43</v>
      </c>
      <c r="S310">
        <v>302001</v>
      </c>
      <c r="T310" t="s">
        <v>25</v>
      </c>
      <c r="U310" t="s">
        <v>44</v>
      </c>
    </row>
    <row r="311" spans="1:21" x14ac:dyDescent="0.3">
      <c r="A311">
        <v>310</v>
      </c>
      <c r="B311" t="s">
        <v>1171</v>
      </c>
      <c r="C311" t="s">
        <v>1172</v>
      </c>
      <c r="D311" t="s">
        <v>29</v>
      </c>
      <c r="E311">
        <v>23</v>
      </c>
      <c r="F311" t="str">
        <f t="shared" si="8"/>
        <v>Teenager</v>
      </c>
      <c r="G311" t="s">
        <v>218</v>
      </c>
      <c r="H311" t="str">
        <f t="shared" si="9"/>
        <v>Mar</v>
      </c>
      <c r="I311" t="s">
        <v>60</v>
      </c>
      <c r="J311" t="s">
        <v>31</v>
      </c>
      <c r="K311" t="s">
        <v>1173</v>
      </c>
      <c r="L311" t="s">
        <v>56</v>
      </c>
      <c r="M311" t="s">
        <v>85</v>
      </c>
      <c r="N311">
        <v>5</v>
      </c>
      <c r="O311" t="s">
        <v>22</v>
      </c>
      <c r="P311">
        <v>3824.43</v>
      </c>
      <c r="Q311" t="s">
        <v>74</v>
      </c>
      <c r="R311" t="s">
        <v>75</v>
      </c>
      <c r="S311">
        <v>226001</v>
      </c>
      <c r="T311" t="s">
        <v>25</v>
      </c>
      <c r="U311" t="s">
        <v>44</v>
      </c>
    </row>
    <row r="312" spans="1:21" x14ac:dyDescent="0.3">
      <c r="A312">
        <v>311</v>
      </c>
      <c r="B312" t="s">
        <v>1174</v>
      </c>
      <c r="C312" t="s">
        <v>1175</v>
      </c>
      <c r="D312" t="s">
        <v>29</v>
      </c>
      <c r="E312">
        <v>31</v>
      </c>
      <c r="F312" t="str">
        <f t="shared" si="8"/>
        <v>Adult</v>
      </c>
      <c r="G312" t="s">
        <v>159</v>
      </c>
      <c r="H312" t="str">
        <f t="shared" si="9"/>
        <v>Aug</v>
      </c>
      <c r="I312" t="s">
        <v>60</v>
      </c>
      <c r="J312" t="s">
        <v>31</v>
      </c>
      <c r="K312" t="s">
        <v>1176</v>
      </c>
      <c r="L312" t="s">
        <v>20</v>
      </c>
      <c r="M312" t="s">
        <v>34</v>
      </c>
      <c r="N312">
        <v>5</v>
      </c>
      <c r="O312" t="s">
        <v>22</v>
      </c>
      <c r="P312">
        <v>1962.18</v>
      </c>
      <c r="Q312" t="s">
        <v>23</v>
      </c>
      <c r="R312" t="s">
        <v>24</v>
      </c>
      <c r="S312">
        <v>400001</v>
      </c>
      <c r="T312" t="s">
        <v>25</v>
      </c>
      <c r="U312" t="s">
        <v>44</v>
      </c>
    </row>
    <row r="313" spans="1:21" x14ac:dyDescent="0.3">
      <c r="A313">
        <v>312</v>
      </c>
      <c r="B313" t="s">
        <v>1177</v>
      </c>
      <c r="C313" t="s">
        <v>1178</v>
      </c>
      <c r="D313" t="s">
        <v>29</v>
      </c>
      <c r="E313">
        <v>44</v>
      </c>
      <c r="F313" t="str">
        <f t="shared" si="8"/>
        <v>Adult</v>
      </c>
      <c r="G313" t="s">
        <v>159</v>
      </c>
      <c r="H313" t="str">
        <f t="shared" si="9"/>
        <v>Aug</v>
      </c>
      <c r="I313" t="s">
        <v>60</v>
      </c>
      <c r="J313" t="s">
        <v>31</v>
      </c>
      <c r="K313" t="s">
        <v>1179</v>
      </c>
      <c r="L313" t="s">
        <v>73</v>
      </c>
      <c r="M313" t="s">
        <v>34</v>
      </c>
      <c r="N313">
        <v>1</v>
      </c>
      <c r="O313" t="s">
        <v>22</v>
      </c>
      <c r="P313">
        <v>3569.63</v>
      </c>
      <c r="Q313" t="s">
        <v>42</v>
      </c>
      <c r="R313" t="s">
        <v>43</v>
      </c>
      <c r="S313">
        <v>302001</v>
      </c>
      <c r="T313" t="s">
        <v>25</v>
      </c>
      <c r="U313" t="s">
        <v>26</v>
      </c>
    </row>
    <row r="314" spans="1:21" x14ac:dyDescent="0.3">
      <c r="A314">
        <v>313</v>
      </c>
      <c r="B314" t="s">
        <v>1180</v>
      </c>
      <c r="C314" t="s">
        <v>1181</v>
      </c>
      <c r="D314" t="s">
        <v>15</v>
      </c>
      <c r="E314">
        <v>40</v>
      </c>
      <c r="F314" t="str">
        <f t="shared" si="8"/>
        <v>Adult</v>
      </c>
      <c r="G314" t="s">
        <v>516</v>
      </c>
      <c r="H314" t="str">
        <f t="shared" si="9"/>
        <v>Nov</v>
      </c>
      <c r="I314" t="s">
        <v>60</v>
      </c>
      <c r="J314" t="s">
        <v>31</v>
      </c>
      <c r="K314" t="s">
        <v>1182</v>
      </c>
      <c r="L314" t="s">
        <v>33</v>
      </c>
      <c r="M314" t="s">
        <v>34</v>
      </c>
      <c r="N314">
        <v>3</v>
      </c>
      <c r="O314" t="s">
        <v>22</v>
      </c>
      <c r="P314">
        <v>4641.97</v>
      </c>
      <c r="Q314" t="s">
        <v>74</v>
      </c>
      <c r="R314" t="s">
        <v>75</v>
      </c>
      <c r="S314">
        <v>226001</v>
      </c>
      <c r="T314" t="s">
        <v>25</v>
      </c>
      <c r="U314" t="s">
        <v>44</v>
      </c>
    </row>
    <row r="315" spans="1:21" x14ac:dyDescent="0.3">
      <c r="A315">
        <v>314</v>
      </c>
      <c r="B315" t="s">
        <v>1183</v>
      </c>
      <c r="C315" t="s">
        <v>1184</v>
      </c>
      <c r="D315" t="s">
        <v>15</v>
      </c>
      <c r="E315">
        <v>32</v>
      </c>
      <c r="F315" t="str">
        <f t="shared" si="8"/>
        <v>Adult</v>
      </c>
      <c r="G315" t="s">
        <v>1185</v>
      </c>
      <c r="H315" t="str">
        <f t="shared" si="9"/>
        <v>Nov</v>
      </c>
      <c r="I315" t="s">
        <v>60</v>
      </c>
      <c r="J315" t="s">
        <v>31</v>
      </c>
      <c r="K315" t="s">
        <v>1186</v>
      </c>
      <c r="L315" t="s">
        <v>62</v>
      </c>
      <c r="M315" t="s">
        <v>50</v>
      </c>
      <c r="N315">
        <v>3</v>
      </c>
      <c r="O315" t="s">
        <v>22</v>
      </c>
      <c r="P315">
        <v>702.03</v>
      </c>
      <c r="Q315" t="s">
        <v>51</v>
      </c>
      <c r="R315" t="s">
        <v>51</v>
      </c>
      <c r="S315">
        <v>110001</v>
      </c>
      <c r="T315" t="s">
        <v>25</v>
      </c>
      <c r="U315" t="s">
        <v>26</v>
      </c>
    </row>
    <row r="316" spans="1:21" x14ac:dyDescent="0.3">
      <c r="A316">
        <v>315</v>
      </c>
      <c r="B316" t="s">
        <v>1187</v>
      </c>
      <c r="C316" t="s">
        <v>1188</v>
      </c>
      <c r="D316" t="s">
        <v>15</v>
      </c>
      <c r="E316">
        <v>26</v>
      </c>
      <c r="F316" t="str">
        <f t="shared" si="8"/>
        <v>Teenager</v>
      </c>
      <c r="G316" t="s">
        <v>1189</v>
      </c>
      <c r="H316" t="str">
        <f t="shared" si="9"/>
        <v>Feb</v>
      </c>
      <c r="I316" t="s">
        <v>60</v>
      </c>
      <c r="J316" t="s">
        <v>31</v>
      </c>
      <c r="K316" t="s">
        <v>1190</v>
      </c>
      <c r="L316" t="s">
        <v>20</v>
      </c>
      <c r="M316" t="s">
        <v>34</v>
      </c>
      <c r="N316">
        <v>4</v>
      </c>
      <c r="O316" t="s">
        <v>22</v>
      </c>
      <c r="P316">
        <v>3396.56</v>
      </c>
      <c r="Q316" t="s">
        <v>35</v>
      </c>
      <c r="R316" t="s">
        <v>36</v>
      </c>
      <c r="S316">
        <v>560001</v>
      </c>
      <c r="T316" t="s">
        <v>25</v>
      </c>
      <c r="U316" t="s">
        <v>44</v>
      </c>
    </row>
    <row r="317" spans="1:21" x14ac:dyDescent="0.3">
      <c r="A317">
        <v>316</v>
      </c>
      <c r="B317" t="s">
        <v>1191</v>
      </c>
      <c r="C317" t="s">
        <v>1192</v>
      </c>
      <c r="D317" t="s">
        <v>15</v>
      </c>
      <c r="E317">
        <v>30</v>
      </c>
      <c r="F317" t="str">
        <f t="shared" si="8"/>
        <v>Adult</v>
      </c>
      <c r="G317" t="s">
        <v>1193</v>
      </c>
      <c r="H317" t="str">
        <f t="shared" si="9"/>
        <v>Dec</v>
      </c>
      <c r="I317" t="s">
        <v>60</v>
      </c>
      <c r="J317" t="s">
        <v>31</v>
      </c>
      <c r="K317" t="s">
        <v>1194</v>
      </c>
      <c r="L317" t="s">
        <v>33</v>
      </c>
      <c r="M317" t="s">
        <v>50</v>
      </c>
      <c r="N317">
        <v>3</v>
      </c>
      <c r="O317" t="s">
        <v>22</v>
      </c>
      <c r="P317">
        <v>378.66</v>
      </c>
      <c r="Q317" t="s">
        <v>42</v>
      </c>
      <c r="R317" t="s">
        <v>43</v>
      </c>
      <c r="S317">
        <v>302001</v>
      </c>
      <c r="T317" t="s">
        <v>25</v>
      </c>
      <c r="U317" t="s">
        <v>44</v>
      </c>
    </row>
    <row r="318" spans="1:21" x14ac:dyDescent="0.3">
      <c r="A318">
        <v>317</v>
      </c>
      <c r="B318" t="s">
        <v>1195</v>
      </c>
      <c r="C318" t="s">
        <v>1196</v>
      </c>
      <c r="D318" t="s">
        <v>15</v>
      </c>
      <c r="E318">
        <v>42</v>
      </c>
      <c r="F318" t="str">
        <f t="shared" si="8"/>
        <v>Adult</v>
      </c>
      <c r="G318" t="s">
        <v>1197</v>
      </c>
      <c r="H318" t="str">
        <f t="shared" si="9"/>
        <v>Nov</v>
      </c>
      <c r="I318" t="s">
        <v>60</v>
      </c>
      <c r="J318" t="s">
        <v>31</v>
      </c>
      <c r="K318" t="s">
        <v>1198</v>
      </c>
      <c r="L318" t="s">
        <v>56</v>
      </c>
      <c r="M318" t="s">
        <v>85</v>
      </c>
      <c r="N318">
        <v>3</v>
      </c>
      <c r="O318" t="s">
        <v>22</v>
      </c>
      <c r="P318">
        <v>4047.58</v>
      </c>
      <c r="Q318" t="s">
        <v>51</v>
      </c>
      <c r="R318" t="s">
        <v>51</v>
      </c>
      <c r="S318">
        <v>110001</v>
      </c>
      <c r="T318" t="s">
        <v>25</v>
      </c>
      <c r="U318" t="s">
        <v>44</v>
      </c>
    </row>
    <row r="319" spans="1:21" x14ac:dyDescent="0.3">
      <c r="A319">
        <v>318</v>
      </c>
      <c r="B319" t="s">
        <v>1199</v>
      </c>
      <c r="C319" t="s">
        <v>1200</v>
      </c>
      <c r="D319" t="s">
        <v>29</v>
      </c>
      <c r="E319">
        <v>28</v>
      </c>
      <c r="F319" t="str">
        <f t="shared" si="8"/>
        <v>Teenager</v>
      </c>
      <c r="G319" t="s">
        <v>342</v>
      </c>
      <c r="H319" t="str">
        <f t="shared" si="9"/>
        <v>May</v>
      </c>
      <c r="I319" t="s">
        <v>60</v>
      </c>
      <c r="J319" t="s">
        <v>31</v>
      </c>
      <c r="K319" t="s">
        <v>1201</v>
      </c>
      <c r="L319" t="s">
        <v>73</v>
      </c>
      <c r="M319" t="s">
        <v>85</v>
      </c>
      <c r="N319">
        <v>4</v>
      </c>
      <c r="O319" t="s">
        <v>22</v>
      </c>
      <c r="P319">
        <v>1574.43</v>
      </c>
      <c r="Q319" t="s">
        <v>74</v>
      </c>
      <c r="R319" t="s">
        <v>75</v>
      </c>
      <c r="S319">
        <v>226001</v>
      </c>
      <c r="T319" t="s">
        <v>25</v>
      </c>
      <c r="U319" t="s">
        <v>26</v>
      </c>
    </row>
    <row r="320" spans="1:21" x14ac:dyDescent="0.3">
      <c r="A320">
        <v>319</v>
      </c>
      <c r="B320" t="s">
        <v>1202</v>
      </c>
      <c r="C320" t="s">
        <v>1203</v>
      </c>
      <c r="D320" t="s">
        <v>15</v>
      </c>
      <c r="E320">
        <v>52</v>
      </c>
      <c r="F320" t="str">
        <f t="shared" si="8"/>
        <v>Senior</v>
      </c>
      <c r="G320" t="s">
        <v>324</v>
      </c>
      <c r="H320" t="str">
        <f t="shared" si="9"/>
        <v>Sep</v>
      </c>
      <c r="I320" t="s">
        <v>60</v>
      </c>
      <c r="J320" t="s">
        <v>31</v>
      </c>
      <c r="K320" t="s">
        <v>1204</v>
      </c>
      <c r="L320" t="s">
        <v>107</v>
      </c>
      <c r="M320" t="s">
        <v>34</v>
      </c>
      <c r="N320">
        <v>5</v>
      </c>
      <c r="O320" t="s">
        <v>22</v>
      </c>
      <c r="P320">
        <v>4844.82</v>
      </c>
      <c r="Q320" t="s">
        <v>74</v>
      </c>
      <c r="R320" t="s">
        <v>75</v>
      </c>
      <c r="S320">
        <v>226001</v>
      </c>
      <c r="T320" t="s">
        <v>25</v>
      </c>
      <c r="U320" t="s">
        <v>44</v>
      </c>
    </row>
    <row r="321" spans="1:21" x14ac:dyDescent="0.3">
      <c r="A321">
        <v>320</v>
      </c>
      <c r="B321" t="s">
        <v>1205</v>
      </c>
      <c r="C321" t="s">
        <v>1206</v>
      </c>
      <c r="D321" t="s">
        <v>29</v>
      </c>
      <c r="E321">
        <v>27</v>
      </c>
      <c r="F321" t="str">
        <f t="shared" si="8"/>
        <v>Teenager</v>
      </c>
      <c r="G321" t="s">
        <v>438</v>
      </c>
      <c r="H321" t="str">
        <f t="shared" si="9"/>
        <v>Sep</v>
      </c>
      <c r="I321" t="s">
        <v>60</v>
      </c>
      <c r="J321" t="s">
        <v>31</v>
      </c>
      <c r="K321" t="s">
        <v>1207</v>
      </c>
      <c r="L321" t="s">
        <v>33</v>
      </c>
      <c r="M321" t="s">
        <v>50</v>
      </c>
      <c r="N321">
        <v>1</v>
      </c>
      <c r="O321" t="s">
        <v>22</v>
      </c>
      <c r="P321">
        <v>760.19</v>
      </c>
      <c r="Q321" t="s">
        <v>35</v>
      </c>
      <c r="R321" t="s">
        <v>36</v>
      </c>
      <c r="S321">
        <v>560001</v>
      </c>
      <c r="T321" t="s">
        <v>25</v>
      </c>
      <c r="U321" t="s">
        <v>26</v>
      </c>
    </row>
    <row r="322" spans="1:21" x14ac:dyDescent="0.3">
      <c r="A322">
        <v>321</v>
      </c>
      <c r="B322" t="s">
        <v>1208</v>
      </c>
      <c r="C322" t="s">
        <v>1209</v>
      </c>
      <c r="D322" t="s">
        <v>15</v>
      </c>
      <c r="E322">
        <v>32</v>
      </c>
      <c r="F322" t="str">
        <f t="shared" si="8"/>
        <v>Adult</v>
      </c>
      <c r="G322" t="s">
        <v>292</v>
      </c>
      <c r="H322" t="str">
        <f t="shared" si="9"/>
        <v>May</v>
      </c>
      <c r="I322" t="s">
        <v>60</v>
      </c>
      <c r="J322" t="s">
        <v>31</v>
      </c>
      <c r="K322" t="s">
        <v>1210</v>
      </c>
      <c r="L322" t="s">
        <v>62</v>
      </c>
      <c r="M322" t="s">
        <v>85</v>
      </c>
      <c r="N322">
        <v>1</v>
      </c>
      <c r="O322" t="s">
        <v>22</v>
      </c>
      <c r="P322">
        <v>4862.71</v>
      </c>
      <c r="Q322" t="s">
        <v>74</v>
      </c>
      <c r="R322" t="s">
        <v>75</v>
      </c>
      <c r="S322">
        <v>226001</v>
      </c>
      <c r="T322" t="s">
        <v>25</v>
      </c>
      <c r="U322" t="s">
        <v>44</v>
      </c>
    </row>
    <row r="323" spans="1:21" x14ac:dyDescent="0.3">
      <c r="A323">
        <v>322</v>
      </c>
      <c r="B323" t="s">
        <v>1211</v>
      </c>
      <c r="C323" t="s">
        <v>1212</v>
      </c>
      <c r="D323" t="s">
        <v>15</v>
      </c>
      <c r="E323">
        <v>19</v>
      </c>
      <c r="F323" t="str">
        <f t="shared" ref="F323:F386" si="10">IF(E323&gt;=50,"Senior", IF(E323&gt;=30, "Adult","Teenager"))</f>
        <v>Teenager</v>
      </c>
      <c r="G323" t="s">
        <v>1213</v>
      </c>
      <c r="H323" t="str">
        <f t="shared" ref="H323:H386" si="11">TEXT(G323,"MMM")</f>
        <v>Jun</v>
      </c>
      <c r="I323" t="s">
        <v>60</v>
      </c>
      <c r="J323" t="s">
        <v>31</v>
      </c>
      <c r="K323" t="s">
        <v>1214</v>
      </c>
      <c r="L323" t="s">
        <v>107</v>
      </c>
      <c r="M323" t="s">
        <v>34</v>
      </c>
      <c r="N323">
        <v>4</v>
      </c>
      <c r="O323" t="s">
        <v>22</v>
      </c>
      <c r="P323">
        <v>1536.24</v>
      </c>
      <c r="Q323" t="s">
        <v>42</v>
      </c>
      <c r="R323" t="s">
        <v>43</v>
      </c>
      <c r="S323">
        <v>302001</v>
      </c>
      <c r="T323" t="s">
        <v>25</v>
      </c>
      <c r="U323" t="s">
        <v>44</v>
      </c>
    </row>
    <row r="324" spans="1:21" x14ac:dyDescent="0.3">
      <c r="A324">
        <v>323</v>
      </c>
      <c r="B324" t="s">
        <v>1215</v>
      </c>
      <c r="C324" t="s">
        <v>1216</v>
      </c>
      <c r="D324" t="s">
        <v>15</v>
      </c>
      <c r="E324">
        <v>18</v>
      </c>
      <c r="F324" t="str">
        <f t="shared" si="10"/>
        <v>Teenager</v>
      </c>
      <c r="G324" t="s">
        <v>1217</v>
      </c>
      <c r="H324" t="str">
        <f t="shared" si="11"/>
        <v>Nov</v>
      </c>
      <c r="I324" t="s">
        <v>60</v>
      </c>
      <c r="J324" t="s">
        <v>31</v>
      </c>
      <c r="K324" t="s">
        <v>1218</v>
      </c>
      <c r="L324" t="s">
        <v>20</v>
      </c>
      <c r="M324" t="s">
        <v>34</v>
      </c>
      <c r="N324">
        <v>2</v>
      </c>
      <c r="O324" t="s">
        <v>22</v>
      </c>
      <c r="P324">
        <v>1062.25</v>
      </c>
      <c r="Q324" t="s">
        <v>42</v>
      </c>
      <c r="R324" t="s">
        <v>43</v>
      </c>
      <c r="S324">
        <v>302001</v>
      </c>
      <c r="T324" t="s">
        <v>25</v>
      </c>
      <c r="U324" t="s">
        <v>44</v>
      </c>
    </row>
    <row r="325" spans="1:21" x14ac:dyDescent="0.3">
      <c r="A325">
        <v>324</v>
      </c>
      <c r="B325" t="s">
        <v>1219</v>
      </c>
      <c r="C325" t="s">
        <v>1220</v>
      </c>
      <c r="D325" t="s">
        <v>29</v>
      </c>
      <c r="E325">
        <v>55</v>
      </c>
      <c r="F325" t="str">
        <f t="shared" si="10"/>
        <v>Senior</v>
      </c>
      <c r="G325" t="s">
        <v>684</v>
      </c>
      <c r="H325" t="str">
        <f t="shared" si="11"/>
        <v>Oct</v>
      </c>
      <c r="I325" t="s">
        <v>60</v>
      </c>
      <c r="J325" t="s">
        <v>101</v>
      </c>
      <c r="K325" t="s">
        <v>1221</v>
      </c>
      <c r="L325" t="s">
        <v>73</v>
      </c>
      <c r="M325" t="s">
        <v>85</v>
      </c>
      <c r="N325">
        <v>5</v>
      </c>
      <c r="O325" t="s">
        <v>22</v>
      </c>
      <c r="P325">
        <v>2518.56</v>
      </c>
      <c r="Q325" t="s">
        <v>23</v>
      </c>
      <c r="R325" t="s">
        <v>24</v>
      </c>
      <c r="S325">
        <v>400001</v>
      </c>
      <c r="T325" t="s">
        <v>25</v>
      </c>
      <c r="U325" t="s">
        <v>26</v>
      </c>
    </row>
    <row r="326" spans="1:21" x14ac:dyDescent="0.3">
      <c r="A326">
        <v>325</v>
      </c>
      <c r="B326" t="s">
        <v>1222</v>
      </c>
      <c r="C326" t="s">
        <v>1223</v>
      </c>
      <c r="D326" t="s">
        <v>15</v>
      </c>
      <c r="E326">
        <v>36</v>
      </c>
      <c r="F326" t="str">
        <f t="shared" si="10"/>
        <v>Adult</v>
      </c>
      <c r="G326" t="s">
        <v>1224</v>
      </c>
      <c r="H326" t="str">
        <f t="shared" si="11"/>
        <v>Apr</v>
      </c>
      <c r="I326" t="s">
        <v>60</v>
      </c>
      <c r="J326" t="s">
        <v>101</v>
      </c>
      <c r="K326" t="s">
        <v>1225</v>
      </c>
      <c r="L326" t="s">
        <v>56</v>
      </c>
      <c r="M326" t="s">
        <v>85</v>
      </c>
      <c r="N326">
        <v>4</v>
      </c>
      <c r="O326" t="s">
        <v>22</v>
      </c>
      <c r="P326">
        <v>2497.61</v>
      </c>
      <c r="Q326" t="s">
        <v>23</v>
      </c>
      <c r="R326" t="s">
        <v>24</v>
      </c>
      <c r="S326">
        <v>400001</v>
      </c>
      <c r="T326" t="s">
        <v>25</v>
      </c>
      <c r="U326" t="s">
        <v>26</v>
      </c>
    </row>
    <row r="327" spans="1:21" x14ac:dyDescent="0.3">
      <c r="A327">
        <v>326</v>
      </c>
      <c r="B327" t="s">
        <v>1226</v>
      </c>
      <c r="C327" t="s">
        <v>1227</v>
      </c>
      <c r="D327" t="s">
        <v>15</v>
      </c>
      <c r="E327">
        <v>28</v>
      </c>
      <c r="F327" t="str">
        <f t="shared" si="10"/>
        <v>Teenager</v>
      </c>
      <c r="G327" t="s">
        <v>1228</v>
      </c>
      <c r="H327" t="str">
        <f t="shared" si="11"/>
        <v>Sep</v>
      </c>
      <c r="I327" t="s">
        <v>60</v>
      </c>
      <c r="J327" t="s">
        <v>40</v>
      </c>
      <c r="K327" t="s">
        <v>1229</v>
      </c>
      <c r="L327" t="s">
        <v>20</v>
      </c>
      <c r="M327" t="s">
        <v>50</v>
      </c>
      <c r="N327">
        <v>4</v>
      </c>
      <c r="O327" t="s">
        <v>22</v>
      </c>
      <c r="P327">
        <v>4959.96</v>
      </c>
      <c r="Q327" t="s">
        <v>23</v>
      </c>
      <c r="R327" t="s">
        <v>24</v>
      </c>
      <c r="S327">
        <v>400001</v>
      </c>
      <c r="T327" t="s">
        <v>25</v>
      </c>
      <c r="U327" t="s">
        <v>26</v>
      </c>
    </row>
    <row r="328" spans="1:21" x14ac:dyDescent="0.3">
      <c r="A328">
        <v>327</v>
      </c>
      <c r="B328" t="s">
        <v>1230</v>
      </c>
      <c r="C328" t="s">
        <v>1231</v>
      </c>
      <c r="D328" t="s">
        <v>29</v>
      </c>
      <c r="E328">
        <v>59</v>
      </c>
      <c r="F328" t="str">
        <f t="shared" si="10"/>
        <v>Senior</v>
      </c>
      <c r="G328" t="s">
        <v>740</v>
      </c>
      <c r="H328" t="str">
        <f t="shared" si="11"/>
        <v>Sep</v>
      </c>
      <c r="I328" t="s">
        <v>60</v>
      </c>
      <c r="J328" t="s">
        <v>71</v>
      </c>
      <c r="K328" t="s">
        <v>1232</v>
      </c>
      <c r="L328" t="s">
        <v>62</v>
      </c>
      <c r="M328" t="s">
        <v>85</v>
      </c>
      <c r="N328">
        <v>4</v>
      </c>
      <c r="O328" t="s">
        <v>22</v>
      </c>
      <c r="P328">
        <v>3903.08</v>
      </c>
      <c r="Q328" t="s">
        <v>23</v>
      </c>
      <c r="R328" t="s">
        <v>24</v>
      </c>
      <c r="S328">
        <v>400001</v>
      </c>
      <c r="T328" t="s">
        <v>25</v>
      </c>
      <c r="U328" t="s">
        <v>44</v>
      </c>
    </row>
    <row r="329" spans="1:21" x14ac:dyDescent="0.3">
      <c r="A329">
        <v>328</v>
      </c>
      <c r="B329" t="s">
        <v>1233</v>
      </c>
      <c r="C329" t="s">
        <v>1234</v>
      </c>
      <c r="D329" t="s">
        <v>15</v>
      </c>
      <c r="E329">
        <v>43</v>
      </c>
      <c r="F329" t="str">
        <f t="shared" si="10"/>
        <v>Adult</v>
      </c>
      <c r="G329" t="s">
        <v>595</v>
      </c>
      <c r="H329" t="str">
        <f t="shared" si="11"/>
        <v>Feb</v>
      </c>
      <c r="I329" t="s">
        <v>60</v>
      </c>
      <c r="J329" t="s">
        <v>40</v>
      </c>
      <c r="K329" t="s">
        <v>1235</v>
      </c>
      <c r="L329" t="s">
        <v>20</v>
      </c>
      <c r="M329" t="s">
        <v>21</v>
      </c>
      <c r="N329">
        <v>2</v>
      </c>
      <c r="O329" t="s">
        <v>22</v>
      </c>
      <c r="P329">
        <v>3464.35</v>
      </c>
      <c r="Q329" t="s">
        <v>23</v>
      </c>
      <c r="R329" t="s">
        <v>24</v>
      </c>
      <c r="S329">
        <v>400001</v>
      </c>
      <c r="T329" t="s">
        <v>25</v>
      </c>
      <c r="U329" t="s">
        <v>26</v>
      </c>
    </row>
    <row r="330" spans="1:21" x14ac:dyDescent="0.3">
      <c r="A330">
        <v>329</v>
      </c>
      <c r="B330" t="s">
        <v>1236</v>
      </c>
      <c r="C330" t="s">
        <v>1237</v>
      </c>
      <c r="D330" t="s">
        <v>29</v>
      </c>
      <c r="E330">
        <v>55</v>
      </c>
      <c r="F330" t="str">
        <f t="shared" si="10"/>
        <v>Senior</v>
      </c>
      <c r="G330" t="s">
        <v>768</v>
      </c>
      <c r="H330" t="str">
        <f t="shared" si="11"/>
        <v>Jun</v>
      </c>
      <c r="I330" t="s">
        <v>60</v>
      </c>
      <c r="J330" t="s">
        <v>101</v>
      </c>
      <c r="K330" t="s">
        <v>1238</v>
      </c>
      <c r="L330" t="s">
        <v>20</v>
      </c>
      <c r="M330" t="s">
        <v>85</v>
      </c>
      <c r="N330">
        <v>4</v>
      </c>
      <c r="O330" t="s">
        <v>22</v>
      </c>
      <c r="P330">
        <v>3289.08</v>
      </c>
      <c r="Q330" t="s">
        <v>74</v>
      </c>
      <c r="R330" t="s">
        <v>75</v>
      </c>
      <c r="S330">
        <v>226001</v>
      </c>
      <c r="T330" t="s">
        <v>25</v>
      </c>
      <c r="U330" t="s">
        <v>44</v>
      </c>
    </row>
    <row r="331" spans="1:21" x14ac:dyDescent="0.3">
      <c r="A331">
        <v>330</v>
      </c>
      <c r="B331" t="s">
        <v>1239</v>
      </c>
      <c r="C331" t="s">
        <v>1240</v>
      </c>
      <c r="D331" t="s">
        <v>29</v>
      </c>
      <c r="E331">
        <v>32</v>
      </c>
      <c r="F331" t="str">
        <f t="shared" si="10"/>
        <v>Adult</v>
      </c>
      <c r="G331" t="s">
        <v>1241</v>
      </c>
      <c r="H331" t="str">
        <f t="shared" si="11"/>
        <v>Apr</v>
      </c>
      <c r="I331" t="s">
        <v>60</v>
      </c>
      <c r="J331" t="s">
        <v>79</v>
      </c>
      <c r="K331" t="s">
        <v>1242</v>
      </c>
      <c r="L331" t="s">
        <v>20</v>
      </c>
      <c r="M331" t="s">
        <v>85</v>
      </c>
      <c r="N331">
        <v>4</v>
      </c>
      <c r="O331" t="s">
        <v>22</v>
      </c>
      <c r="P331">
        <v>1318.46</v>
      </c>
      <c r="Q331" t="s">
        <v>42</v>
      </c>
      <c r="R331" t="s">
        <v>43</v>
      </c>
      <c r="S331">
        <v>302001</v>
      </c>
      <c r="T331" t="s">
        <v>25</v>
      </c>
      <c r="U331" t="s">
        <v>44</v>
      </c>
    </row>
    <row r="332" spans="1:21" x14ac:dyDescent="0.3">
      <c r="A332">
        <v>331</v>
      </c>
      <c r="B332" t="s">
        <v>1243</v>
      </c>
      <c r="C332" t="s">
        <v>1244</v>
      </c>
      <c r="D332" t="s">
        <v>29</v>
      </c>
      <c r="E332">
        <v>49</v>
      </c>
      <c r="F332" t="str">
        <f t="shared" si="10"/>
        <v>Adult</v>
      </c>
      <c r="G332" t="s">
        <v>1095</v>
      </c>
      <c r="H332" t="str">
        <f t="shared" si="11"/>
        <v>Sep</v>
      </c>
      <c r="I332" t="s">
        <v>60</v>
      </c>
      <c r="J332" t="s">
        <v>71</v>
      </c>
      <c r="K332" t="s">
        <v>1245</v>
      </c>
      <c r="L332" t="s">
        <v>56</v>
      </c>
      <c r="M332" t="s">
        <v>50</v>
      </c>
      <c r="N332">
        <v>1</v>
      </c>
      <c r="O332" t="s">
        <v>22</v>
      </c>
      <c r="P332">
        <v>876.02</v>
      </c>
      <c r="Q332" t="s">
        <v>42</v>
      </c>
      <c r="R332" t="s">
        <v>43</v>
      </c>
      <c r="S332">
        <v>302001</v>
      </c>
      <c r="T332" t="s">
        <v>25</v>
      </c>
      <c r="U332" t="s">
        <v>44</v>
      </c>
    </row>
    <row r="333" spans="1:21" x14ac:dyDescent="0.3">
      <c r="A333">
        <v>332</v>
      </c>
      <c r="B333" t="s">
        <v>1246</v>
      </c>
      <c r="C333" t="s">
        <v>1247</v>
      </c>
      <c r="D333" t="s">
        <v>15</v>
      </c>
      <c r="E333">
        <v>27</v>
      </c>
      <c r="F333" t="str">
        <f t="shared" si="10"/>
        <v>Teenager</v>
      </c>
      <c r="G333" t="s">
        <v>524</v>
      </c>
      <c r="H333" t="str">
        <f t="shared" si="11"/>
        <v>Mar</v>
      </c>
      <c r="I333" t="s">
        <v>60</v>
      </c>
      <c r="J333" t="s">
        <v>71</v>
      </c>
      <c r="K333" t="s">
        <v>1248</v>
      </c>
      <c r="L333" t="s">
        <v>62</v>
      </c>
      <c r="M333" t="s">
        <v>50</v>
      </c>
      <c r="N333">
        <v>1</v>
      </c>
      <c r="O333" t="s">
        <v>22</v>
      </c>
      <c r="P333">
        <v>4902.05</v>
      </c>
      <c r="Q333" t="s">
        <v>35</v>
      </c>
      <c r="R333" t="s">
        <v>36</v>
      </c>
      <c r="S333">
        <v>560001</v>
      </c>
      <c r="T333" t="s">
        <v>25</v>
      </c>
      <c r="U333" t="s">
        <v>44</v>
      </c>
    </row>
    <row r="334" spans="1:21" x14ac:dyDescent="0.3">
      <c r="A334">
        <v>333</v>
      </c>
      <c r="B334" t="s">
        <v>1249</v>
      </c>
      <c r="C334" t="s">
        <v>1250</v>
      </c>
      <c r="D334" t="s">
        <v>29</v>
      </c>
      <c r="E334">
        <v>44</v>
      </c>
      <c r="F334" t="str">
        <f t="shared" si="10"/>
        <v>Adult</v>
      </c>
      <c r="G334" t="s">
        <v>481</v>
      </c>
      <c r="H334" t="str">
        <f t="shared" si="11"/>
        <v>Jan</v>
      </c>
      <c r="I334" t="s">
        <v>60</v>
      </c>
      <c r="J334" t="s">
        <v>79</v>
      </c>
      <c r="K334" t="s">
        <v>1251</v>
      </c>
      <c r="L334" t="s">
        <v>20</v>
      </c>
      <c r="M334" t="s">
        <v>50</v>
      </c>
      <c r="N334">
        <v>5</v>
      </c>
      <c r="O334" t="s">
        <v>22</v>
      </c>
      <c r="P334">
        <v>4923.92</v>
      </c>
      <c r="Q334" t="s">
        <v>35</v>
      </c>
      <c r="R334" t="s">
        <v>36</v>
      </c>
      <c r="S334">
        <v>560001</v>
      </c>
      <c r="T334" t="s">
        <v>25</v>
      </c>
      <c r="U334" t="s">
        <v>26</v>
      </c>
    </row>
    <row r="335" spans="1:21" x14ac:dyDescent="0.3">
      <c r="A335">
        <v>334</v>
      </c>
      <c r="B335" t="s">
        <v>1252</v>
      </c>
      <c r="C335" t="s">
        <v>1253</v>
      </c>
      <c r="D335" t="s">
        <v>15</v>
      </c>
      <c r="E335">
        <v>57</v>
      </c>
      <c r="F335" t="str">
        <f t="shared" si="10"/>
        <v>Senior</v>
      </c>
      <c r="G335" t="s">
        <v>308</v>
      </c>
      <c r="H335" t="str">
        <f t="shared" si="11"/>
        <v>Jul</v>
      </c>
      <c r="I335" t="s">
        <v>60</v>
      </c>
      <c r="J335" t="s">
        <v>101</v>
      </c>
      <c r="K335" t="s">
        <v>1254</v>
      </c>
      <c r="L335" t="s">
        <v>20</v>
      </c>
      <c r="M335" t="s">
        <v>34</v>
      </c>
      <c r="N335">
        <v>4</v>
      </c>
      <c r="O335" t="s">
        <v>22</v>
      </c>
      <c r="P335">
        <v>4268.1499999999996</v>
      </c>
      <c r="Q335" t="s">
        <v>74</v>
      </c>
      <c r="R335" t="s">
        <v>75</v>
      </c>
      <c r="S335">
        <v>226001</v>
      </c>
      <c r="T335" t="s">
        <v>25</v>
      </c>
      <c r="U335" t="s">
        <v>44</v>
      </c>
    </row>
    <row r="336" spans="1:21" x14ac:dyDescent="0.3">
      <c r="A336">
        <v>335</v>
      </c>
      <c r="B336" t="s">
        <v>1255</v>
      </c>
      <c r="C336" t="s">
        <v>1256</v>
      </c>
      <c r="D336" t="s">
        <v>15</v>
      </c>
      <c r="E336">
        <v>58</v>
      </c>
      <c r="F336" t="str">
        <f t="shared" si="10"/>
        <v>Senior</v>
      </c>
      <c r="G336" t="s">
        <v>1193</v>
      </c>
      <c r="H336" t="str">
        <f t="shared" si="11"/>
        <v>Dec</v>
      </c>
      <c r="I336" t="s">
        <v>60</v>
      </c>
      <c r="J336" t="s">
        <v>31</v>
      </c>
      <c r="K336" t="s">
        <v>1257</v>
      </c>
      <c r="L336" t="s">
        <v>107</v>
      </c>
      <c r="M336" t="s">
        <v>34</v>
      </c>
      <c r="N336">
        <v>4</v>
      </c>
      <c r="O336" t="s">
        <v>22</v>
      </c>
      <c r="P336">
        <v>2277.1799999999998</v>
      </c>
      <c r="Q336" t="s">
        <v>23</v>
      </c>
      <c r="R336" t="s">
        <v>24</v>
      </c>
      <c r="S336">
        <v>400001</v>
      </c>
      <c r="T336" t="s">
        <v>25</v>
      </c>
      <c r="U336" t="s">
        <v>26</v>
      </c>
    </row>
    <row r="337" spans="1:21" x14ac:dyDescent="0.3">
      <c r="A337">
        <v>336</v>
      </c>
      <c r="B337" t="s">
        <v>1258</v>
      </c>
      <c r="C337" t="s">
        <v>1259</v>
      </c>
      <c r="D337" t="s">
        <v>15</v>
      </c>
      <c r="E337">
        <v>54</v>
      </c>
      <c r="F337" t="str">
        <f t="shared" si="10"/>
        <v>Senior</v>
      </c>
      <c r="G337" t="s">
        <v>1260</v>
      </c>
      <c r="H337" t="str">
        <f t="shared" si="11"/>
        <v>Oct</v>
      </c>
      <c r="I337" t="s">
        <v>60</v>
      </c>
      <c r="J337" t="s">
        <v>79</v>
      </c>
      <c r="K337" t="s">
        <v>1261</v>
      </c>
      <c r="L337" t="s">
        <v>20</v>
      </c>
      <c r="M337" t="s">
        <v>50</v>
      </c>
      <c r="N337">
        <v>2</v>
      </c>
      <c r="O337" t="s">
        <v>22</v>
      </c>
      <c r="P337">
        <v>1103.57</v>
      </c>
      <c r="Q337" t="s">
        <v>42</v>
      </c>
      <c r="R337" t="s">
        <v>43</v>
      </c>
      <c r="S337">
        <v>302001</v>
      </c>
      <c r="T337" t="s">
        <v>25</v>
      </c>
      <c r="U337" t="s">
        <v>26</v>
      </c>
    </row>
    <row r="338" spans="1:21" x14ac:dyDescent="0.3">
      <c r="A338">
        <v>337</v>
      </c>
      <c r="B338" t="s">
        <v>1262</v>
      </c>
      <c r="C338" t="s">
        <v>1263</v>
      </c>
      <c r="D338" t="s">
        <v>29</v>
      </c>
      <c r="E338">
        <v>25</v>
      </c>
      <c r="F338" t="str">
        <f t="shared" si="10"/>
        <v>Teenager</v>
      </c>
      <c r="G338" t="s">
        <v>1264</v>
      </c>
      <c r="H338" t="str">
        <f t="shared" si="11"/>
        <v>Feb</v>
      </c>
      <c r="I338" t="s">
        <v>60</v>
      </c>
      <c r="J338" t="s">
        <v>18</v>
      </c>
      <c r="K338" t="s">
        <v>1265</v>
      </c>
      <c r="L338" t="s">
        <v>20</v>
      </c>
      <c r="M338" t="s">
        <v>85</v>
      </c>
      <c r="N338">
        <v>4</v>
      </c>
      <c r="O338" t="s">
        <v>22</v>
      </c>
      <c r="P338">
        <v>2158.41</v>
      </c>
      <c r="Q338" t="s">
        <v>42</v>
      </c>
      <c r="R338" t="s">
        <v>43</v>
      </c>
      <c r="S338">
        <v>302001</v>
      </c>
      <c r="T338" t="s">
        <v>25</v>
      </c>
      <c r="U338" t="s">
        <v>26</v>
      </c>
    </row>
    <row r="339" spans="1:21" x14ac:dyDescent="0.3">
      <c r="A339">
        <v>338</v>
      </c>
      <c r="B339" t="s">
        <v>1266</v>
      </c>
      <c r="C339" t="s">
        <v>1267</v>
      </c>
      <c r="D339" t="s">
        <v>15</v>
      </c>
      <c r="E339">
        <v>59</v>
      </c>
      <c r="F339" t="str">
        <f t="shared" si="10"/>
        <v>Senior</v>
      </c>
      <c r="G339" t="s">
        <v>110</v>
      </c>
      <c r="H339" t="str">
        <f t="shared" si="11"/>
        <v>Dec</v>
      </c>
      <c r="I339" t="s">
        <v>60</v>
      </c>
      <c r="J339" t="s">
        <v>40</v>
      </c>
      <c r="K339" t="s">
        <v>1268</v>
      </c>
      <c r="L339" t="s">
        <v>73</v>
      </c>
      <c r="M339" t="s">
        <v>85</v>
      </c>
      <c r="N339">
        <v>3</v>
      </c>
      <c r="O339" t="s">
        <v>22</v>
      </c>
      <c r="P339">
        <v>4776.3900000000003</v>
      </c>
      <c r="Q339" t="s">
        <v>42</v>
      </c>
      <c r="R339" t="s">
        <v>43</v>
      </c>
      <c r="S339">
        <v>302001</v>
      </c>
      <c r="T339" t="s">
        <v>25</v>
      </c>
      <c r="U339" t="s">
        <v>44</v>
      </c>
    </row>
    <row r="340" spans="1:21" x14ac:dyDescent="0.3">
      <c r="A340">
        <v>339</v>
      </c>
      <c r="B340" t="s">
        <v>1269</v>
      </c>
      <c r="C340" t="s">
        <v>1270</v>
      </c>
      <c r="D340" t="s">
        <v>29</v>
      </c>
      <c r="E340">
        <v>49</v>
      </c>
      <c r="F340" t="str">
        <f t="shared" si="10"/>
        <v>Adult</v>
      </c>
      <c r="G340" t="s">
        <v>1213</v>
      </c>
      <c r="H340" t="str">
        <f t="shared" si="11"/>
        <v>Jun</v>
      </c>
      <c r="I340" t="s">
        <v>60</v>
      </c>
      <c r="J340" t="s">
        <v>101</v>
      </c>
      <c r="K340" t="s">
        <v>1271</v>
      </c>
      <c r="L340" t="s">
        <v>20</v>
      </c>
      <c r="M340" t="s">
        <v>85</v>
      </c>
      <c r="N340">
        <v>5</v>
      </c>
      <c r="O340" t="s">
        <v>22</v>
      </c>
      <c r="P340">
        <v>1379.48</v>
      </c>
      <c r="Q340" t="s">
        <v>74</v>
      </c>
      <c r="R340" t="s">
        <v>75</v>
      </c>
      <c r="S340">
        <v>226001</v>
      </c>
      <c r="T340" t="s">
        <v>25</v>
      </c>
      <c r="U340" t="s">
        <v>44</v>
      </c>
    </row>
    <row r="341" spans="1:21" x14ac:dyDescent="0.3">
      <c r="A341">
        <v>340</v>
      </c>
      <c r="B341" t="s">
        <v>1272</v>
      </c>
      <c r="C341" t="s">
        <v>1273</v>
      </c>
      <c r="D341" t="s">
        <v>15</v>
      </c>
      <c r="E341">
        <v>56</v>
      </c>
      <c r="F341" t="str">
        <f t="shared" si="10"/>
        <v>Senior</v>
      </c>
      <c r="G341" t="s">
        <v>747</v>
      </c>
      <c r="H341" t="str">
        <f t="shared" si="11"/>
        <v>Dec</v>
      </c>
      <c r="I341" t="s">
        <v>60</v>
      </c>
      <c r="J341" t="s">
        <v>71</v>
      </c>
      <c r="K341" t="s">
        <v>1274</v>
      </c>
      <c r="L341" t="s">
        <v>20</v>
      </c>
      <c r="M341" t="s">
        <v>34</v>
      </c>
      <c r="N341">
        <v>4</v>
      </c>
      <c r="O341" t="s">
        <v>22</v>
      </c>
      <c r="P341">
        <v>399.2</v>
      </c>
      <c r="Q341" t="s">
        <v>42</v>
      </c>
      <c r="R341" t="s">
        <v>43</v>
      </c>
      <c r="S341">
        <v>302001</v>
      </c>
      <c r="T341" t="s">
        <v>25</v>
      </c>
      <c r="U341" t="s">
        <v>44</v>
      </c>
    </row>
    <row r="342" spans="1:21" x14ac:dyDescent="0.3">
      <c r="A342">
        <v>341</v>
      </c>
      <c r="B342" t="s">
        <v>1275</v>
      </c>
      <c r="C342" t="s">
        <v>1276</v>
      </c>
      <c r="D342" t="s">
        <v>15</v>
      </c>
      <c r="E342">
        <v>24</v>
      </c>
      <c r="F342" t="str">
        <f t="shared" si="10"/>
        <v>Teenager</v>
      </c>
      <c r="G342" t="s">
        <v>603</v>
      </c>
      <c r="H342" t="str">
        <f t="shared" si="11"/>
        <v>Jun</v>
      </c>
      <c r="I342" t="s">
        <v>60</v>
      </c>
      <c r="J342" t="s">
        <v>71</v>
      </c>
      <c r="K342" t="s">
        <v>1277</v>
      </c>
      <c r="L342" t="s">
        <v>20</v>
      </c>
      <c r="M342" t="s">
        <v>85</v>
      </c>
      <c r="N342">
        <v>4</v>
      </c>
      <c r="O342" t="s">
        <v>22</v>
      </c>
      <c r="P342">
        <v>2994.05</v>
      </c>
      <c r="Q342" t="s">
        <v>74</v>
      </c>
      <c r="R342" t="s">
        <v>75</v>
      </c>
      <c r="S342">
        <v>226001</v>
      </c>
      <c r="T342" t="s">
        <v>25</v>
      </c>
      <c r="U342" t="s">
        <v>44</v>
      </c>
    </row>
    <row r="343" spans="1:21" x14ac:dyDescent="0.3">
      <c r="A343">
        <v>342</v>
      </c>
      <c r="B343" t="s">
        <v>1278</v>
      </c>
      <c r="C343" t="s">
        <v>1279</v>
      </c>
      <c r="D343" t="s">
        <v>15</v>
      </c>
      <c r="E343">
        <v>42</v>
      </c>
      <c r="F343" t="str">
        <f t="shared" si="10"/>
        <v>Adult</v>
      </c>
      <c r="G343" t="s">
        <v>516</v>
      </c>
      <c r="H343" t="str">
        <f t="shared" si="11"/>
        <v>Nov</v>
      </c>
      <c r="I343" t="s">
        <v>60</v>
      </c>
      <c r="J343" t="s">
        <v>18</v>
      </c>
      <c r="K343" t="s">
        <v>1280</v>
      </c>
      <c r="L343" t="s">
        <v>62</v>
      </c>
      <c r="M343" t="s">
        <v>50</v>
      </c>
      <c r="N343">
        <v>2</v>
      </c>
      <c r="O343" t="s">
        <v>22</v>
      </c>
      <c r="P343">
        <v>4509.04</v>
      </c>
      <c r="Q343" t="s">
        <v>51</v>
      </c>
      <c r="R343" t="s">
        <v>51</v>
      </c>
      <c r="S343">
        <v>110001</v>
      </c>
      <c r="T343" t="s">
        <v>25</v>
      </c>
      <c r="U343" t="s">
        <v>26</v>
      </c>
    </row>
    <row r="344" spans="1:21" x14ac:dyDescent="0.3">
      <c r="A344">
        <v>343</v>
      </c>
      <c r="B344" t="s">
        <v>1281</v>
      </c>
      <c r="C344" t="s">
        <v>1282</v>
      </c>
      <c r="D344" t="s">
        <v>29</v>
      </c>
      <c r="E344">
        <v>22</v>
      </c>
      <c r="F344" t="str">
        <f t="shared" si="10"/>
        <v>Teenager</v>
      </c>
      <c r="G344" t="s">
        <v>1283</v>
      </c>
      <c r="H344" t="str">
        <f t="shared" si="11"/>
        <v>Jan</v>
      </c>
      <c r="I344" t="s">
        <v>60</v>
      </c>
      <c r="J344" t="s">
        <v>79</v>
      </c>
      <c r="K344" t="s">
        <v>1284</v>
      </c>
      <c r="L344" t="s">
        <v>107</v>
      </c>
      <c r="M344" t="s">
        <v>50</v>
      </c>
      <c r="N344">
        <v>4</v>
      </c>
      <c r="O344" t="s">
        <v>22</v>
      </c>
      <c r="P344">
        <v>4218.3599999999997</v>
      </c>
      <c r="Q344" t="s">
        <v>51</v>
      </c>
      <c r="R344" t="s">
        <v>51</v>
      </c>
      <c r="S344">
        <v>110001</v>
      </c>
      <c r="T344" t="s">
        <v>25</v>
      </c>
      <c r="U344" t="s">
        <v>26</v>
      </c>
    </row>
    <row r="345" spans="1:21" x14ac:dyDescent="0.3">
      <c r="A345">
        <v>344</v>
      </c>
      <c r="B345" t="s">
        <v>1285</v>
      </c>
      <c r="C345" t="s">
        <v>1286</v>
      </c>
      <c r="D345" t="s">
        <v>15</v>
      </c>
      <c r="E345">
        <v>50</v>
      </c>
      <c r="F345" t="str">
        <f t="shared" si="10"/>
        <v>Senior</v>
      </c>
      <c r="G345" t="s">
        <v>69</v>
      </c>
      <c r="H345" t="str">
        <f t="shared" si="11"/>
        <v>Mar</v>
      </c>
      <c r="I345" t="s">
        <v>60</v>
      </c>
      <c r="J345" t="s">
        <v>71</v>
      </c>
      <c r="K345" t="s">
        <v>1287</v>
      </c>
      <c r="L345" t="s">
        <v>107</v>
      </c>
      <c r="M345" t="s">
        <v>34</v>
      </c>
      <c r="N345">
        <v>3</v>
      </c>
      <c r="O345" t="s">
        <v>22</v>
      </c>
      <c r="P345">
        <v>4425</v>
      </c>
      <c r="Q345" t="s">
        <v>23</v>
      </c>
      <c r="R345" t="s">
        <v>24</v>
      </c>
      <c r="S345">
        <v>400001</v>
      </c>
      <c r="T345" t="s">
        <v>25</v>
      </c>
      <c r="U345" t="s">
        <v>44</v>
      </c>
    </row>
    <row r="346" spans="1:21" x14ac:dyDescent="0.3">
      <c r="A346">
        <v>345</v>
      </c>
      <c r="B346" t="s">
        <v>1288</v>
      </c>
      <c r="C346" t="s">
        <v>1289</v>
      </c>
      <c r="D346" t="s">
        <v>29</v>
      </c>
      <c r="E346">
        <v>41</v>
      </c>
      <c r="F346" t="str">
        <f t="shared" si="10"/>
        <v>Adult</v>
      </c>
      <c r="G346" t="s">
        <v>1290</v>
      </c>
      <c r="H346" t="str">
        <f t="shared" si="11"/>
        <v>Feb</v>
      </c>
      <c r="I346" t="s">
        <v>60</v>
      </c>
      <c r="J346" t="s">
        <v>101</v>
      </c>
      <c r="K346" t="s">
        <v>1291</v>
      </c>
      <c r="L346" t="s">
        <v>56</v>
      </c>
      <c r="M346" t="s">
        <v>85</v>
      </c>
      <c r="N346">
        <v>5</v>
      </c>
      <c r="O346" t="s">
        <v>22</v>
      </c>
      <c r="P346">
        <v>1347.75</v>
      </c>
      <c r="Q346" t="s">
        <v>74</v>
      </c>
      <c r="R346" t="s">
        <v>75</v>
      </c>
      <c r="S346">
        <v>226001</v>
      </c>
      <c r="T346" t="s">
        <v>25</v>
      </c>
      <c r="U346" t="s">
        <v>44</v>
      </c>
    </row>
    <row r="347" spans="1:21" x14ac:dyDescent="0.3">
      <c r="A347">
        <v>346</v>
      </c>
      <c r="B347" t="s">
        <v>1292</v>
      </c>
      <c r="C347" t="s">
        <v>1293</v>
      </c>
      <c r="D347" t="s">
        <v>29</v>
      </c>
      <c r="E347">
        <v>25</v>
      </c>
      <c r="F347" t="str">
        <f t="shared" si="10"/>
        <v>Teenager</v>
      </c>
      <c r="G347" t="s">
        <v>1000</v>
      </c>
      <c r="H347" t="str">
        <f t="shared" si="11"/>
        <v>Dec</v>
      </c>
      <c r="I347" t="s">
        <v>60</v>
      </c>
      <c r="J347" t="s">
        <v>40</v>
      </c>
      <c r="K347" t="s">
        <v>1294</v>
      </c>
      <c r="L347" t="s">
        <v>56</v>
      </c>
      <c r="M347" t="s">
        <v>21</v>
      </c>
      <c r="N347">
        <v>3</v>
      </c>
      <c r="O347" t="s">
        <v>22</v>
      </c>
      <c r="P347">
        <v>4475.8500000000004</v>
      </c>
      <c r="Q347" t="s">
        <v>35</v>
      </c>
      <c r="R347" t="s">
        <v>36</v>
      </c>
      <c r="S347">
        <v>560001</v>
      </c>
      <c r="T347" t="s">
        <v>25</v>
      </c>
      <c r="U347" t="s">
        <v>44</v>
      </c>
    </row>
    <row r="348" spans="1:21" x14ac:dyDescent="0.3">
      <c r="A348">
        <v>347</v>
      </c>
      <c r="B348" t="s">
        <v>1295</v>
      </c>
      <c r="C348" t="s">
        <v>1296</v>
      </c>
      <c r="D348" t="s">
        <v>15</v>
      </c>
      <c r="E348">
        <v>39</v>
      </c>
      <c r="F348" t="str">
        <f t="shared" si="10"/>
        <v>Adult</v>
      </c>
      <c r="G348" t="s">
        <v>300</v>
      </c>
      <c r="H348" t="str">
        <f t="shared" si="11"/>
        <v>Jan</v>
      </c>
      <c r="I348" t="s">
        <v>60</v>
      </c>
      <c r="J348" t="s">
        <v>18</v>
      </c>
      <c r="K348" t="s">
        <v>1297</v>
      </c>
      <c r="L348" t="s">
        <v>107</v>
      </c>
      <c r="M348" t="s">
        <v>34</v>
      </c>
      <c r="N348">
        <v>5</v>
      </c>
      <c r="O348" t="s">
        <v>22</v>
      </c>
      <c r="P348">
        <v>4473.76</v>
      </c>
      <c r="Q348" t="s">
        <v>42</v>
      </c>
      <c r="R348" t="s">
        <v>43</v>
      </c>
      <c r="S348">
        <v>302001</v>
      </c>
      <c r="T348" t="s">
        <v>25</v>
      </c>
      <c r="U348" t="s">
        <v>26</v>
      </c>
    </row>
    <row r="349" spans="1:21" x14ac:dyDescent="0.3">
      <c r="A349">
        <v>348</v>
      </c>
      <c r="B349" t="s">
        <v>1298</v>
      </c>
      <c r="C349" t="s">
        <v>1299</v>
      </c>
      <c r="D349" t="s">
        <v>29</v>
      </c>
      <c r="E349">
        <v>35</v>
      </c>
      <c r="F349" t="str">
        <f t="shared" si="10"/>
        <v>Adult</v>
      </c>
      <c r="G349" t="s">
        <v>909</v>
      </c>
      <c r="H349" t="str">
        <f t="shared" si="11"/>
        <v>Jun</v>
      </c>
      <c r="I349" t="s">
        <v>60</v>
      </c>
      <c r="J349" t="s">
        <v>79</v>
      </c>
      <c r="K349" t="s">
        <v>1300</v>
      </c>
      <c r="L349" t="s">
        <v>73</v>
      </c>
      <c r="M349" t="s">
        <v>21</v>
      </c>
      <c r="N349">
        <v>4</v>
      </c>
      <c r="O349" t="s">
        <v>22</v>
      </c>
      <c r="P349">
        <v>2871.63</v>
      </c>
      <c r="Q349" t="s">
        <v>23</v>
      </c>
      <c r="R349" t="s">
        <v>24</v>
      </c>
      <c r="S349">
        <v>400001</v>
      </c>
      <c r="T349" t="s">
        <v>25</v>
      </c>
      <c r="U349" t="s">
        <v>44</v>
      </c>
    </row>
    <row r="350" spans="1:21" x14ac:dyDescent="0.3">
      <c r="A350">
        <v>349</v>
      </c>
      <c r="B350" t="s">
        <v>1301</v>
      </c>
      <c r="C350" t="s">
        <v>1302</v>
      </c>
      <c r="D350" t="s">
        <v>15</v>
      </c>
      <c r="E350">
        <v>54</v>
      </c>
      <c r="F350" t="str">
        <f t="shared" si="10"/>
        <v>Senior</v>
      </c>
      <c r="G350" t="s">
        <v>1303</v>
      </c>
      <c r="H350" t="str">
        <f t="shared" si="11"/>
        <v>Jul</v>
      </c>
      <c r="I350" t="s">
        <v>48</v>
      </c>
      <c r="J350" t="s">
        <v>79</v>
      </c>
      <c r="K350" t="s">
        <v>1304</v>
      </c>
      <c r="L350" t="s">
        <v>62</v>
      </c>
      <c r="M350" t="s">
        <v>50</v>
      </c>
      <c r="N350">
        <v>3</v>
      </c>
      <c r="O350" t="s">
        <v>22</v>
      </c>
      <c r="P350">
        <v>2006.26</v>
      </c>
      <c r="Q350" t="s">
        <v>42</v>
      </c>
      <c r="R350" t="s">
        <v>43</v>
      </c>
      <c r="S350">
        <v>302001</v>
      </c>
      <c r="T350" t="s">
        <v>25</v>
      </c>
      <c r="U350" t="s">
        <v>44</v>
      </c>
    </row>
    <row r="351" spans="1:21" x14ac:dyDescent="0.3">
      <c r="A351">
        <v>350</v>
      </c>
      <c r="B351" t="s">
        <v>1305</v>
      </c>
      <c r="C351" t="s">
        <v>1306</v>
      </c>
      <c r="D351" t="s">
        <v>29</v>
      </c>
      <c r="E351">
        <v>47</v>
      </c>
      <c r="F351" t="str">
        <f t="shared" si="10"/>
        <v>Adult</v>
      </c>
      <c r="G351" t="s">
        <v>1307</v>
      </c>
      <c r="H351" t="str">
        <f t="shared" si="11"/>
        <v>Feb</v>
      </c>
      <c r="I351" t="s">
        <v>70</v>
      </c>
      <c r="J351" t="s">
        <v>40</v>
      </c>
      <c r="K351" t="s">
        <v>1308</v>
      </c>
      <c r="L351" t="s">
        <v>20</v>
      </c>
      <c r="M351" t="s">
        <v>21</v>
      </c>
      <c r="N351">
        <v>3</v>
      </c>
      <c r="O351" t="s">
        <v>22</v>
      </c>
      <c r="P351">
        <v>4912.67</v>
      </c>
      <c r="Q351" t="s">
        <v>23</v>
      </c>
      <c r="R351" t="s">
        <v>24</v>
      </c>
      <c r="S351">
        <v>400001</v>
      </c>
      <c r="T351" t="s">
        <v>25</v>
      </c>
      <c r="U351" t="s">
        <v>44</v>
      </c>
    </row>
    <row r="352" spans="1:21" x14ac:dyDescent="0.3">
      <c r="A352">
        <v>351</v>
      </c>
      <c r="B352" t="s">
        <v>1309</v>
      </c>
      <c r="C352" t="s">
        <v>1310</v>
      </c>
      <c r="D352" t="s">
        <v>15</v>
      </c>
      <c r="E352">
        <v>52</v>
      </c>
      <c r="F352" t="str">
        <f t="shared" si="10"/>
        <v>Senior</v>
      </c>
      <c r="G352" t="s">
        <v>1241</v>
      </c>
      <c r="H352" t="str">
        <f t="shared" si="11"/>
        <v>Apr</v>
      </c>
      <c r="I352" t="s">
        <v>60</v>
      </c>
      <c r="J352" t="s">
        <v>79</v>
      </c>
      <c r="K352" t="s">
        <v>1311</v>
      </c>
      <c r="L352" t="s">
        <v>20</v>
      </c>
      <c r="M352" t="s">
        <v>50</v>
      </c>
      <c r="N352">
        <v>1</v>
      </c>
      <c r="O352" t="s">
        <v>22</v>
      </c>
      <c r="P352">
        <v>2180.29</v>
      </c>
      <c r="Q352" t="s">
        <v>42</v>
      </c>
      <c r="R352" t="s">
        <v>43</v>
      </c>
      <c r="S352">
        <v>302001</v>
      </c>
      <c r="T352" t="s">
        <v>25</v>
      </c>
      <c r="U352" t="s">
        <v>26</v>
      </c>
    </row>
    <row r="353" spans="1:21" x14ac:dyDescent="0.3">
      <c r="A353">
        <v>352</v>
      </c>
      <c r="B353" t="s">
        <v>1312</v>
      </c>
      <c r="C353" t="s">
        <v>1313</v>
      </c>
      <c r="D353" t="s">
        <v>15</v>
      </c>
      <c r="E353">
        <v>56</v>
      </c>
      <c r="F353" t="str">
        <f t="shared" si="10"/>
        <v>Senior</v>
      </c>
      <c r="G353" t="s">
        <v>1314</v>
      </c>
      <c r="H353" t="str">
        <f t="shared" si="11"/>
        <v>Sep</v>
      </c>
      <c r="I353" t="s">
        <v>60</v>
      </c>
      <c r="J353" t="s">
        <v>71</v>
      </c>
      <c r="K353" t="s">
        <v>1315</v>
      </c>
      <c r="L353" t="s">
        <v>62</v>
      </c>
      <c r="M353" t="s">
        <v>21</v>
      </c>
      <c r="N353">
        <v>2</v>
      </c>
      <c r="O353" t="s">
        <v>22</v>
      </c>
      <c r="P353">
        <v>2715.79</v>
      </c>
      <c r="Q353" t="s">
        <v>23</v>
      </c>
      <c r="R353" t="s">
        <v>24</v>
      </c>
      <c r="S353">
        <v>400001</v>
      </c>
      <c r="T353" t="s">
        <v>25</v>
      </c>
      <c r="U353" t="s">
        <v>26</v>
      </c>
    </row>
    <row r="354" spans="1:21" x14ac:dyDescent="0.3">
      <c r="A354">
        <v>353</v>
      </c>
      <c r="B354" t="s">
        <v>1316</v>
      </c>
      <c r="C354" t="s">
        <v>1317</v>
      </c>
      <c r="D354" t="s">
        <v>29</v>
      </c>
      <c r="E354">
        <v>48</v>
      </c>
      <c r="F354" t="str">
        <f t="shared" si="10"/>
        <v>Adult</v>
      </c>
      <c r="G354" t="s">
        <v>1318</v>
      </c>
      <c r="H354" t="str">
        <f t="shared" si="11"/>
        <v>Nov</v>
      </c>
      <c r="I354" t="s">
        <v>17</v>
      </c>
      <c r="J354" t="s">
        <v>79</v>
      </c>
      <c r="K354" t="s">
        <v>1319</v>
      </c>
      <c r="L354" t="s">
        <v>62</v>
      </c>
      <c r="M354" t="s">
        <v>21</v>
      </c>
      <c r="N354">
        <v>5</v>
      </c>
      <c r="O354" t="s">
        <v>22</v>
      </c>
      <c r="P354">
        <v>4488.24</v>
      </c>
      <c r="Q354" t="s">
        <v>42</v>
      </c>
      <c r="R354" t="s">
        <v>43</v>
      </c>
      <c r="S354">
        <v>302001</v>
      </c>
      <c r="T354" t="s">
        <v>25</v>
      </c>
      <c r="U354" t="s">
        <v>26</v>
      </c>
    </row>
    <row r="355" spans="1:21" x14ac:dyDescent="0.3">
      <c r="A355">
        <v>354</v>
      </c>
      <c r="B355" t="s">
        <v>1320</v>
      </c>
      <c r="C355" t="s">
        <v>1321</v>
      </c>
      <c r="D355" t="s">
        <v>15</v>
      </c>
      <c r="E355">
        <v>50</v>
      </c>
      <c r="F355" t="str">
        <f t="shared" si="10"/>
        <v>Senior</v>
      </c>
      <c r="G355" t="s">
        <v>595</v>
      </c>
      <c r="H355" t="str">
        <f t="shared" si="11"/>
        <v>Feb</v>
      </c>
      <c r="I355" t="s">
        <v>60</v>
      </c>
      <c r="J355" t="s">
        <v>71</v>
      </c>
      <c r="K355" t="s">
        <v>1322</v>
      </c>
      <c r="L355" t="s">
        <v>107</v>
      </c>
      <c r="M355" t="s">
        <v>34</v>
      </c>
      <c r="N355">
        <v>1</v>
      </c>
      <c r="O355" t="s">
        <v>22</v>
      </c>
      <c r="P355">
        <v>797.85</v>
      </c>
      <c r="Q355" t="s">
        <v>23</v>
      </c>
      <c r="R355" t="s">
        <v>24</v>
      </c>
      <c r="S355">
        <v>400001</v>
      </c>
      <c r="T355" t="s">
        <v>25</v>
      </c>
      <c r="U355" t="s">
        <v>26</v>
      </c>
    </row>
    <row r="356" spans="1:21" x14ac:dyDescent="0.3">
      <c r="A356">
        <v>355</v>
      </c>
      <c r="B356" t="s">
        <v>1323</v>
      </c>
      <c r="C356" t="s">
        <v>1324</v>
      </c>
      <c r="D356" t="s">
        <v>29</v>
      </c>
      <c r="E356">
        <v>30</v>
      </c>
      <c r="F356" t="str">
        <f t="shared" si="10"/>
        <v>Adult</v>
      </c>
      <c r="G356" t="s">
        <v>1325</v>
      </c>
      <c r="H356" t="str">
        <f t="shared" si="11"/>
        <v>May</v>
      </c>
      <c r="I356" t="s">
        <v>60</v>
      </c>
      <c r="J356" t="s">
        <v>18</v>
      </c>
      <c r="K356" t="s">
        <v>1326</v>
      </c>
      <c r="L356" t="s">
        <v>73</v>
      </c>
      <c r="M356" t="s">
        <v>34</v>
      </c>
      <c r="N356">
        <v>4</v>
      </c>
      <c r="O356" t="s">
        <v>22</v>
      </c>
      <c r="P356">
        <v>4428.16</v>
      </c>
      <c r="Q356" t="s">
        <v>74</v>
      </c>
      <c r="R356" t="s">
        <v>75</v>
      </c>
      <c r="S356">
        <v>226001</v>
      </c>
      <c r="T356" t="s">
        <v>25</v>
      </c>
      <c r="U356" t="s">
        <v>26</v>
      </c>
    </row>
    <row r="357" spans="1:21" x14ac:dyDescent="0.3">
      <c r="A357">
        <v>356</v>
      </c>
      <c r="B357" t="s">
        <v>1327</v>
      </c>
      <c r="C357" t="s">
        <v>1328</v>
      </c>
      <c r="D357" t="s">
        <v>29</v>
      </c>
      <c r="E357">
        <v>21</v>
      </c>
      <c r="F357" t="str">
        <f t="shared" si="10"/>
        <v>Teenager</v>
      </c>
      <c r="G357" t="s">
        <v>1070</v>
      </c>
      <c r="H357" t="str">
        <f t="shared" si="11"/>
        <v>Jan</v>
      </c>
      <c r="I357" t="s">
        <v>60</v>
      </c>
      <c r="J357" t="s">
        <v>18</v>
      </c>
      <c r="K357" t="s">
        <v>1329</v>
      </c>
      <c r="L357" t="s">
        <v>33</v>
      </c>
      <c r="M357" t="s">
        <v>85</v>
      </c>
      <c r="N357">
        <v>5</v>
      </c>
      <c r="O357" t="s">
        <v>22</v>
      </c>
      <c r="P357">
        <v>1378.84</v>
      </c>
      <c r="Q357" t="s">
        <v>74</v>
      </c>
      <c r="R357" t="s">
        <v>75</v>
      </c>
      <c r="S357">
        <v>226001</v>
      </c>
      <c r="T357" t="s">
        <v>25</v>
      </c>
      <c r="U357" t="s">
        <v>26</v>
      </c>
    </row>
    <row r="358" spans="1:21" x14ac:dyDescent="0.3">
      <c r="A358">
        <v>357</v>
      </c>
      <c r="B358" t="s">
        <v>1330</v>
      </c>
      <c r="C358" t="s">
        <v>1331</v>
      </c>
      <c r="D358" t="s">
        <v>15</v>
      </c>
      <c r="E358">
        <v>37</v>
      </c>
      <c r="F358" t="str">
        <f t="shared" si="10"/>
        <v>Adult</v>
      </c>
      <c r="G358" t="s">
        <v>1332</v>
      </c>
      <c r="H358" t="str">
        <f t="shared" si="11"/>
        <v>Apr</v>
      </c>
      <c r="I358" t="s">
        <v>48</v>
      </c>
      <c r="J358" t="s">
        <v>101</v>
      </c>
      <c r="K358" t="s">
        <v>1333</v>
      </c>
      <c r="L358" t="s">
        <v>33</v>
      </c>
      <c r="M358" t="s">
        <v>85</v>
      </c>
      <c r="N358">
        <v>3</v>
      </c>
      <c r="O358" t="s">
        <v>22</v>
      </c>
      <c r="P358">
        <v>2191.8000000000002</v>
      </c>
      <c r="Q358" t="s">
        <v>51</v>
      </c>
      <c r="R358" t="s">
        <v>51</v>
      </c>
      <c r="S358">
        <v>110001</v>
      </c>
      <c r="T358" t="s">
        <v>25</v>
      </c>
      <c r="U358" t="s">
        <v>26</v>
      </c>
    </row>
    <row r="359" spans="1:21" x14ac:dyDescent="0.3">
      <c r="A359">
        <v>358</v>
      </c>
      <c r="B359" t="s">
        <v>1334</v>
      </c>
      <c r="C359" t="s">
        <v>1335</v>
      </c>
      <c r="D359" t="s">
        <v>29</v>
      </c>
      <c r="E359">
        <v>58</v>
      </c>
      <c r="F359" t="str">
        <f t="shared" si="10"/>
        <v>Senior</v>
      </c>
      <c r="G359" t="s">
        <v>1336</v>
      </c>
      <c r="H359" t="str">
        <f t="shared" si="11"/>
        <v>Feb</v>
      </c>
      <c r="I359" t="s">
        <v>17</v>
      </c>
      <c r="J359" t="s">
        <v>101</v>
      </c>
      <c r="K359" t="s">
        <v>1337</v>
      </c>
      <c r="L359" t="s">
        <v>20</v>
      </c>
      <c r="M359" t="s">
        <v>34</v>
      </c>
      <c r="N359">
        <v>4</v>
      </c>
      <c r="O359" t="s">
        <v>22</v>
      </c>
      <c r="P359">
        <v>4542.32</v>
      </c>
      <c r="Q359" t="s">
        <v>35</v>
      </c>
      <c r="R359" t="s">
        <v>36</v>
      </c>
      <c r="S359">
        <v>560001</v>
      </c>
      <c r="T359" t="s">
        <v>25</v>
      </c>
      <c r="U359" t="s">
        <v>44</v>
      </c>
    </row>
    <row r="360" spans="1:21" x14ac:dyDescent="0.3">
      <c r="A360">
        <v>359</v>
      </c>
      <c r="B360" t="s">
        <v>1338</v>
      </c>
      <c r="C360" t="s">
        <v>1339</v>
      </c>
      <c r="D360" t="s">
        <v>15</v>
      </c>
      <c r="E360">
        <v>34</v>
      </c>
      <c r="F360" t="str">
        <f t="shared" si="10"/>
        <v>Adult</v>
      </c>
      <c r="G360" t="s">
        <v>1340</v>
      </c>
      <c r="H360" t="str">
        <f t="shared" si="11"/>
        <v>Dec</v>
      </c>
      <c r="I360" t="s">
        <v>70</v>
      </c>
      <c r="J360" t="s">
        <v>101</v>
      </c>
      <c r="K360" t="s">
        <v>1341</v>
      </c>
      <c r="L360" t="s">
        <v>107</v>
      </c>
      <c r="M360" t="s">
        <v>21</v>
      </c>
      <c r="N360">
        <v>5</v>
      </c>
      <c r="O360" t="s">
        <v>22</v>
      </c>
      <c r="P360">
        <v>4253.16</v>
      </c>
      <c r="Q360" t="s">
        <v>51</v>
      </c>
      <c r="R360" t="s">
        <v>51</v>
      </c>
      <c r="S360">
        <v>110001</v>
      </c>
      <c r="T360" t="s">
        <v>25</v>
      </c>
      <c r="U360" t="s">
        <v>44</v>
      </c>
    </row>
    <row r="361" spans="1:21" x14ac:dyDescent="0.3">
      <c r="A361">
        <v>360</v>
      </c>
      <c r="B361" t="s">
        <v>1342</v>
      </c>
      <c r="C361" t="s">
        <v>1343</v>
      </c>
      <c r="D361" t="s">
        <v>29</v>
      </c>
      <c r="E361">
        <v>45</v>
      </c>
      <c r="F361" t="str">
        <f t="shared" si="10"/>
        <v>Adult</v>
      </c>
      <c r="G361" t="s">
        <v>1344</v>
      </c>
      <c r="H361" t="str">
        <f t="shared" si="11"/>
        <v>Feb</v>
      </c>
      <c r="I361" t="s">
        <v>60</v>
      </c>
      <c r="J361" t="s">
        <v>71</v>
      </c>
      <c r="K361" t="s">
        <v>1345</v>
      </c>
      <c r="L361" t="s">
        <v>107</v>
      </c>
      <c r="M361" t="s">
        <v>50</v>
      </c>
      <c r="N361">
        <v>4</v>
      </c>
      <c r="O361" t="s">
        <v>22</v>
      </c>
      <c r="P361">
        <v>2179.1799999999998</v>
      </c>
      <c r="Q361" t="s">
        <v>23</v>
      </c>
      <c r="R361" t="s">
        <v>24</v>
      </c>
      <c r="S361">
        <v>400001</v>
      </c>
      <c r="T361" t="s">
        <v>25</v>
      </c>
      <c r="U361" t="s">
        <v>26</v>
      </c>
    </row>
    <row r="362" spans="1:21" x14ac:dyDescent="0.3">
      <c r="A362">
        <v>361</v>
      </c>
      <c r="B362" t="s">
        <v>1346</v>
      </c>
      <c r="C362" t="s">
        <v>1347</v>
      </c>
      <c r="D362" t="s">
        <v>15</v>
      </c>
      <c r="E362">
        <v>26</v>
      </c>
      <c r="F362" t="str">
        <f t="shared" si="10"/>
        <v>Teenager</v>
      </c>
      <c r="G362" t="s">
        <v>1348</v>
      </c>
      <c r="H362" t="str">
        <f t="shared" si="11"/>
        <v>Jan</v>
      </c>
      <c r="I362" t="s">
        <v>48</v>
      </c>
      <c r="J362" t="s">
        <v>101</v>
      </c>
      <c r="K362" t="s">
        <v>1349</v>
      </c>
      <c r="L362" t="s">
        <v>73</v>
      </c>
      <c r="M362" t="s">
        <v>85</v>
      </c>
      <c r="N362">
        <v>5</v>
      </c>
      <c r="O362" t="s">
        <v>22</v>
      </c>
      <c r="P362">
        <v>2396.4499999999998</v>
      </c>
      <c r="Q362" t="s">
        <v>23</v>
      </c>
      <c r="R362" t="s">
        <v>24</v>
      </c>
      <c r="S362">
        <v>400001</v>
      </c>
      <c r="T362" t="s">
        <v>25</v>
      </c>
      <c r="U362" t="s">
        <v>44</v>
      </c>
    </row>
    <row r="363" spans="1:21" x14ac:dyDescent="0.3">
      <c r="A363">
        <v>362</v>
      </c>
      <c r="B363" t="s">
        <v>1350</v>
      </c>
      <c r="C363" t="s">
        <v>1351</v>
      </c>
      <c r="D363" t="s">
        <v>15</v>
      </c>
      <c r="E363">
        <v>38</v>
      </c>
      <c r="F363" t="str">
        <f t="shared" si="10"/>
        <v>Adult</v>
      </c>
      <c r="G363" t="s">
        <v>230</v>
      </c>
      <c r="H363" t="str">
        <f t="shared" si="11"/>
        <v>Jan</v>
      </c>
      <c r="I363" t="s">
        <v>60</v>
      </c>
      <c r="J363" t="s">
        <v>40</v>
      </c>
      <c r="K363" t="s">
        <v>1352</v>
      </c>
      <c r="L363" t="s">
        <v>33</v>
      </c>
      <c r="M363" t="s">
        <v>21</v>
      </c>
      <c r="N363">
        <v>2</v>
      </c>
      <c r="O363" t="s">
        <v>22</v>
      </c>
      <c r="P363">
        <v>2466.16</v>
      </c>
      <c r="Q363" t="s">
        <v>51</v>
      </c>
      <c r="R363" t="s">
        <v>51</v>
      </c>
      <c r="S363">
        <v>110001</v>
      </c>
      <c r="T363" t="s">
        <v>25</v>
      </c>
      <c r="U363" t="s">
        <v>44</v>
      </c>
    </row>
    <row r="364" spans="1:21" x14ac:dyDescent="0.3">
      <c r="A364">
        <v>363</v>
      </c>
      <c r="B364" t="s">
        <v>1353</v>
      </c>
      <c r="C364" t="s">
        <v>1354</v>
      </c>
      <c r="D364" t="s">
        <v>29</v>
      </c>
      <c r="E364">
        <v>48</v>
      </c>
      <c r="F364" t="str">
        <f t="shared" si="10"/>
        <v>Adult</v>
      </c>
      <c r="G364" t="s">
        <v>419</v>
      </c>
      <c r="H364" t="str">
        <f t="shared" si="11"/>
        <v>Jun</v>
      </c>
      <c r="I364" t="s">
        <v>60</v>
      </c>
      <c r="J364" t="s">
        <v>101</v>
      </c>
      <c r="K364" t="s">
        <v>1355</v>
      </c>
      <c r="L364" t="s">
        <v>20</v>
      </c>
      <c r="M364" t="s">
        <v>34</v>
      </c>
      <c r="N364">
        <v>4</v>
      </c>
      <c r="O364" t="s">
        <v>22</v>
      </c>
      <c r="P364">
        <v>853.66</v>
      </c>
      <c r="Q364" t="s">
        <v>51</v>
      </c>
      <c r="R364" t="s">
        <v>51</v>
      </c>
      <c r="S364">
        <v>110001</v>
      </c>
      <c r="T364" t="s">
        <v>25</v>
      </c>
      <c r="U364" t="s">
        <v>44</v>
      </c>
    </row>
    <row r="365" spans="1:21" x14ac:dyDescent="0.3">
      <c r="A365">
        <v>364</v>
      </c>
      <c r="B365" t="s">
        <v>1356</v>
      </c>
      <c r="C365" t="s">
        <v>1357</v>
      </c>
      <c r="D365" t="s">
        <v>15</v>
      </c>
      <c r="E365">
        <v>58</v>
      </c>
      <c r="F365" t="str">
        <f t="shared" si="10"/>
        <v>Senior</v>
      </c>
      <c r="G365" t="s">
        <v>1028</v>
      </c>
      <c r="H365" t="str">
        <f t="shared" si="11"/>
        <v>Aug</v>
      </c>
      <c r="I365" t="s">
        <v>17</v>
      </c>
      <c r="J365" t="s">
        <v>40</v>
      </c>
      <c r="K365" t="s">
        <v>1358</v>
      </c>
      <c r="L365" t="s">
        <v>33</v>
      </c>
      <c r="M365" t="s">
        <v>50</v>
      </c>
      <c r="N365">
        <v>4</v>
      </c>
      <c r="O365" t="s">
        <v>22</v>
      </c>
      <c r="P365">
        <v>4133.1499999999996</v>
      </c>
      <c r="Q365" t="s">
        <v>23</v>
      </c>
      <c r="R365" t="s">
        <v>24</v>
      </c>
      <c r="S365">
        <v>400001</v>
      </c>
      <c r="T365" t="s">
        <v>25</v>
      </c>
      <c r="U365" t="s">
        <v>44</v>
      </c>
    </row>
    <row r="366" spans="1:21" x14ac:dyDescent="0.3">
      <c r="A366">
        <v>365</v>
      </c>
      <c r="B366" t="s">
        <v>1359</v>
      </c>
      <c r="C366" t="s">
        <v>1360</v>
      </c>
      <c r="D366" t="s">
        <v>29</v>
      </c>
      <c r="E366">
        <v>54</v>
      </c>
      <c r="F366" t="str">
        <f t="shared" si="10"/>
        <v>Senior</v>
      </c>
      <c r="G366" t="s">
        <v>1361</v>
      </c>
      <c r="H366" t="str">
        <f t="shared" si="11"/>
        <v>Aug</v>
      </c>
      <c r="I366" t="s">
        <v>60</v>
      </c>
      <c r="J366" t="s">
        <v>101</v>
      </c>
      <c r="K366" t="s">
        <v>1084</v>
      </c>
      <c r="L366" t="s">
        <v>20</v>
      </c>
      <c r="M366" t="s">
        <v>34</v>
      </c>
      <c r="N366">
        <v>3</v>
      </c>
      <c r="O366" t="s">
        <v>22</v>
      </c>
      <c r="P366">
        <v>2069.16</v>
      </c>
      <c r="Q366" t="s">
        <v>42</v>
      </c>
      <c r="R366" t="s">
        <v>43</v>
      </c>
      <c r="S366">
        <v>302001</v>
      </c>
      <c r="T366" t="s">
        <v>25</v>
      </c>
      <c r="U366" t="s">
        <v>44</v>
      </c>
    </row>
    <row r="367" spans="1:21" x14ac:dyDescent="0.3">
      <c r="A367">
        <v>366</v>
      </c>
      <c r="B367" t="s">
        <v>1362</v>
      </c>
      <c r="C367" t="s">
        <v>1363</v>
      </c>
      <c r="D367" t="s">
        <v>29</v>
      </c>
      <c r="E367">
        <v>24</v>
      </c>
      <c r="F367" t="str">
        <f t="shared" si="10"/>
        <v>Teenager</v>
      </c>
      <c r="G367" t="s">
        <v>1364</v>
      </c>
      <c r="H367" t="str">
        <f t="shared" si="11"/>
        <v>Mar</v>
      </c>
      <c r="I367" t="s">
        <v>17</v>
      </c>
      <c r="J367" t="s">
        <v>31</v>
      </c>
      <c r="K367" t="s">
        <v>1365</v>
      </c>
      <c r="L367" t="s">
        <v>20</v>
      </c>
      <c r="M367" t="s">
        <v>34</v>
      </c>
      <c r="N367">
        <v>5</v>
      </c>
      <c r="O367" t="s">
        <v>22</v>
      </c>
      <c r="P367">
        <v>4524.1899999999996</v>
      </c>
      <c r="Q367" t="s">
        <v>51</v>
      </c>
      <c r="R367" t="s">
        <v>51</v>
      </c>
      <c r="S367">
        <v>110001</v>
      </c>
      <c r="T367" t="s">
        <v>25</v>
      </c>
      <c r="U367" t="s">
        <v>26</v>
      </c>
    </row>
    <row r="368" spans="1:21" x14ac:dyDescent="0.3">
      <c r="A368">
        <v>367</v>
      </c>
      <c r="B368" t="s">
        <v>1366</v>
      </c>
      <c r="C368" t="s">
        <v>1367</v>
      </c>
      <c r="D368" t="s">
        <v>29</v>
      </c>
      <c r="E368">
        <v>42</v>
      </c>
      <c r="F368" t="str">
        <f t="shared" si="10"/>
        <v>Adult</v>
      </c>
      <c r="G368" t="s">
        <v>1368</v>
      </c>
      <c r="H368" t="str">
        <f t="shared" si="11"/>
        <v>Apr</v>
      </c>
      <c r="I368" t="s">
        <v>70</v>
      </c>
      <c r="J368" t="s">
        <v>31</v>
      </c>
      <c r="K368" t="s">
        <v>1369</v>
      </c>
      <c r="L368" t="s">
        <v>107</v>
      </c>
      <c r="M368" t="s">
        <v>34</v>
      </c>
      <c r="N368">
        <v>5</v>
      </c>
      <c r="O368" t="s">
        <v>22</v>
      </c>
      <c r="P368">
        <v>2646.23</v>
      </c>
      <c r="Q368" t="s">
        <v>23</v>
      </c>
      <c r="R368" t="s">
        <v>24</v>
      </c>
      <c r="S368">
        <v>400001</v>
      </c>
      <c r="T368" t="s">
        <v>25</v>
      </c>
      <c r="U368" t="s">
        <v>44</v>
      </c>
    </row>
    <row r="369" spans="1:21" x14ac:dyDescent="0.3">
      <c r="A369">
        <v>368</v>
      </c>
      <c r="B369" t="s">
        <v>1370</v>
      </c>
      <c r="C369" t="s">
        <v>1371</v>
      </c>
      <c r="D369" t="s">
        <v>15</v>
      </c>
      <c r="E369">
        <v>59</v>
      </c>
      <c r="F369" t="str">
        <f t="shared" si="10"/>
        <v>Senior</v>
      </c>
      <c r="G369" t="s">
        <v>354</v>
      </c>
      <c r="H369" t="str">
        <f t="shared" si="11"/>
        <v>Jun</v>
      </c>
      <c r="I369" t="s">
        <v>48</v>
      </c>
      <c r="J369" t="s">
        <v>79</v>
      </c>
      <c r="K369" t="s">
        <v>1372</v>
      </c>
      <c r="L369" t="s">
        <v>62</v>
      </c>
      <c r="M369" t="s">
        <v>34</v>
      </c>
      <c r="N369">
        <v>1</v>
      </c>
      <c r="O369" t="s">
        <v>22</v>
      </c>
      <c r="P369">
        <v>1910.39</v>
      </c>
      <c r="Q369" t="s">
        <v>35</v>
      </c>
      <c r="R369" t="s">
        <v>36</v>
      </c>
      <c r="S369">
        <v>560001</v>
      </c>
      <c r="T369" t="s">
        <v>25</v>
      </c>
      <c r="U369" t="s">
        <v>26</v>
      </c>
    </row>
    <row r="370" spans="1:21" x14ac:dyDescent="0.3">
      <c r="A370">
        <v>369</v>
      </c>
      <c r="B370" t="s">
        <v>1373</v>
      </c>
      <c r="C370" t="s">
        <v>1374</v>
      </c>
      <c r="D370" t="s">
        <v>15</v>
      </c>
      <c r="E370">
        <v>60</v>
      </c>
      <c r="F370" t="str">
        <f t="shared" si="10"/>
        <v>Senior</v>
      </c>
      <c r="G370" t="s">
        <v>1375</v>
      </c>
      <c r="H370" t="str">
        <f t="shared" si="11"/>
        <v>Apr</v>
      </c>
      <c r="I370" t="s">
        <v>60</v>
      </c>
      <c r="J370" t="s">
        <v>40</v>
      </c>
      <c r="K370" t="s">
        <v>1376</v>
      </c>
      <c r="L370" t="s">
        <v>107</v>
      </c>
      <c r="M370" t="s">
        <v>34</v>
      </c>
      <c r="N370">
        <v>3</v>
      </c>
      <c r="O370" t="s">
        <v>22</v>
      </c>
      <c r="P370">
        <v>620.28</v>
      </c>
      <c r="Q370" t="s">
        <v>23</v>
      </c>
      <c r="R370" t="s">
        <v>24</v>
      </c>
      <c r="S370">
        <v>400001</v>
      </c>
      <c r="T370" t="s">
        <v>25</v>
      </c>
      <c r="U370" t="s">
        <v>44</v>
      </c>
    </row>
    <row r="371" spans="1:21" x14ac:dyDescent="0.3">
      <c r="A371">
        <v>370</v>
      </c>
      <c r="B371" t="s">
        <v>1377</v>
      </c>
      <c r="C371" t="s">
        <v>1378</v>
      </c>
      <c r="D371" t="s">
        <v>15</v>
      </c>
      <c r="E371">
        <v>30</v>
      </c>
      <c r="F371" t="str">
        <f t="shared" si="10"/>
        <v>Adult</v>
      </c>
      <c r="G371" t="s">
        <v>931</v>
      </c>
      <c r="H371" t="str">
        <f t="shared" si="11"/>
        <v>Jan</v>
      </c>
      <c r="I371" t="s">
        <v>70</v>
      </c>
      <c r="J371" t="s">
        <v>40</v>
      </c>
      <c r="K371" t="s">
        <v>1379</v>
      </c>
      <c r="L371" t="s">
        <v>73</v>
      </c>
      <c r="M371" t="s">
        <v>85</v>
      </c>
      <c r="N371">
        <v>1</v>
      </c>
      <c r="O371" t="s">
        <v>22</v>
      </c>
      <c r="P371">
        <v>2067.6799999999998</v>
      </c>
      <c r="Q371" t="s">
        <v>35</v>
      </c>
      <c r="R371" t="s">
        <v>36</v>
      </c>
      <c r="S371">
        <v>560001</v>
      </c>
      <c r="T371" t="s">
        <v>25</v>
      </c>
      <c r="U371" t="s">
        <v>26</v>
      </c>
    </row>
    <row r="372" spans="1:21" x14ac:dyDescent="0.3">
      <c r="A372">
        <v>371</v>
      </c>
      <c r="B372" t="s">
        <v>1380</v>
      </c>
      <c r="C372" t="s">
        <v>1381</v>
      </c>
      <c r="D372" t="s">
        <v>15</v>
      </c>
      <c r="E372">
        <v>56</v>
      </c>
      <c r="F372" t="str">
        <f t="shared" si="10"/>
        <v>Senior</v>
      </c>
      <c r="G372" t="s">
        <v>250</v>
      </c>
      <c r="H372" t="str">
        <f t="shared" si="11"/>
        <v>Nov</v>
      </c>
      <c r="I372" t="s">
        <v>60</v>
      </c>
      <c r="J372" t="s">
        <v>31</v>
      </c>
      <c r="K372" t="s">
        <v>1382</v>
      </c>
      <c r="L372" t="s">
        <v>56</v>
      </c>
      <c r="M372" t="s">
        <v>34</v>
      </c>
      <c r="N372">
        <v>5</v>
      </c>
      <c r="O372" t="s">
        <v>22</v>
      </c>
      <c r="P372">
        <v>4934.32</v>
      </c>
      <c r="Q372" t="s">
        <v>35</v>
      </c>
      <c r="R372" t="s">
        <v>36</v>
      </c>
      <c r="S372">
        <v>560001</v>
      </c>
      <c r="T372" t="s">
        <v>25</v>
      </c>
      <c r="U372" t="s">
        <v>44</v>
      </c>
    </row>
    <row r="373" spans="1:21" x14ac:dyDescent="0.3">
      <c r="A373">
        <v>372</v>
      </c>
      <c r="B373" t="s">
        <v>1383</v>
      </c>
      <c r="C373" t="s">
        <v>1384</v>
      </c>
      <c r="D373" t="s">
        <v>15</v>
      </c>
      <c r="E373">
        <v>30</v>
      </c>
      <c r="F373" t="str">
        <f t="shared" si="10"/>
        <v>Adult</v>
      </c>
      <c r="G373" t="s">
        <v>100</v>
      </c>
      <c r="H373" t="str">
        <f t="shared" si="11"/>
        <v>Nov</v>
      </c>
      <c r="I373" t="s">
        <v>70</v>
      </c>
      <c r="J373" t="s">
        <v>18</v>
      </c>
      <c r="K373" t="s">
        <v>1385</v>
      </c>
      <c r="L373" t="s">
        <v>73</v>
      </c>
      <c r="M373" t="s">
        <v>21</v>
      </c>
      <c r="N373">
        <v>1</v>
      </c>
      <c r="O373" t="s">
        <v>22</v>
      </c>
      <c r="P373">
        <v>4340.24</v>
      </c>
      <c r="Q373" t="s">
        <v>42</v>
      </c>
      <c r="R373" t="s">
        <v>43</v>
      </c>
      <c r="S373">
        <v>302001</v>
      </c>
      <c r="T373" t="s">
        <v>25</v>
      </c>
      <c r="U373" t="s">
        <v>44</v>
      </c>
    </row>
    <row r="374" spans="1:21" x14ac:dyDescent="0.3">
      <c r="A374">
        <v>373</v>
      </c>
      <c r="B374" t="s">
        <v>1386</v>
      </c>
      <c r="C374" t="s">
        <v>1387</v>
      </c>
      <c r="D374" t="s">
        <v>15</v>
      </c>
      <c r="E374">
        <v>31</v>
      </c>
      <c r="F374" t="str">
        <f t="shared" si="10"/>
        <v>Adult</v>
      </c>
      <c r="G374" t="s">
        <v>1388</v>
      </c>
      <c r="H374" t="str">
        <f t="shared" si="11"/>
        <v>Nov</v>
      </c>
      <c r="I374" t="s">
        <v>17</v>
      </c>
      <c r="J374" t="s">
        <v>101</v>
      </c>
      <c r="K374" t="s">
        <v>1389</v>
      </c>
      <c r="L374" t="s">
        <v>107</v>
      </c>
      <c r="M374" t="s">
        <v>21</v>
      </c>
      <c r="N374">
        <v>3</v>
      </c>
      <c r="O374" t="s">
        <v>22</v>
      </c>
      <c r="P374">
        <v>2915.69</v>
      </c>
      <c r="Q374" t="s">
        <v>74</v>
      </c>
      <c r="R374" t="s">
        <v>75</v>
      </c>
      <c r="S374">
        <v>226001</v>
      </c>
      <c r="T374" t="s">
        <v>25</v>
      </c>
      <c r="U374" t="s">
        <v>26</v>
      </c>
    </row>
    <row r="375" spans="1:21" x14ac:dyDescent="0.3">
      <c r="A375">
        <v>374</v>
      </c>
      <c r="B375" t="s">
        <v>1390</v>
      </c>
      <c r="C375" t="s">
        <v>1391</v>
      </c>
      <c r="D375" t="s">
        <v>15</v>
      </c>
      <c r="E375">
        <v>54</v>
      </c>
      <c r="F375" t="str">
        <f t="shared" si="10"/>
        <v>Senior</v>
      </c>
      <c r="G375" t="s">
        <v>304</v>
      </c>
      <c r="H375" t="str">
        <f t="shared" si="11"/>
        <v>Jun</v>
      </c>
      <c r="I375" t="s">
        <v>48</v>
      </c>
      <c r="J375" t="s">
        <v>101</v>
      </c>
      <c r="K375" t="s">
        <v>1392</v>
      </c>
      <c r="L375" t="s">
        <v>56</v>
      </c>
      <c r="M375" t="s">
        <v>85</v>
      </c>
      <c r="N375">
        <v>3</v>
      </c>
      <c r="O375" t="s">
        <v>22</v>
      </c>
      <c r="P375">
        <v>2333.94</v>
      </c>
      <c r="Q375" t="s">
        <v>51</v>
      </c>
      <c r="R375" t="s">
        <v>51</v>
      </c>
      <c r="S375">
        <v>110001</v>
      </c>
      <c r="T375" t="s">
        <v>25</v>
      </c>
      <c r="U375" t="s">
        <v>44</v>
      </c>
    </row>
    <row r="376" spans="1:21" x14ac:dyDescent="0.3">
      <c r="A376">
        <v>375</v>
      </c>
      <c r="B376" t="s">
        <v>1393</v>
      </c>
      <c r="C376" t="s">
        <v>1394</v>
      </c>
      <c r="D376" t="s">
        <v>15</v>
      </c>
      <c r="E376">
        <v>37</v>
      </c>
      <c r="F376" t="str">
        <f t="shared" si="10"/>
        <v>Adult</v>
      </c>
      <c r="G376" t="s">
        <v>386</v>
      </c>
      <c r="H376" t="str">
        <f t="shared" si="11"/>
        <v>May</v>
      </c>
      <c r="I376" t="s">
        <v>60</v>
      </c>
      <c r="J376" t="s">
        <v>79</v>
      </c>
      <c r="K376" t="s">
        <v>1395</v>
      </c>
      <c r="L376" t="s">
        <v>73</v>
      </c>
      <c r="M376" t="s">
        <v>50</v>
      </c>
      <c r="N376">
        <v>3</v>
      </c>
      <c r="O376" t="s">
        <v>22</v>
      </c>
      <c r="P376">
        <v>2786.35</v>
      </c>
      <c r="Q376" t="s">
        <v>51</v>
      </c>
      <c r="R376" t="s">
        <v>51</v>
      </c>
      <c r="S376">
        <v>110001</v>
      </c>
      <c r="T376" t="s">
        <v>25</v>
      </c>
      <c r="U376" t="s">
        <v>26</v>
      </c>
    </row>
    <row r="377" spans="1:21" x14ac:dyDescent="0.3">
      <c r="A377">
        <v>376</v>
      </c>
      <c r="B377" t="s">
        <v>1396</v>
      </c>
      <c r="C377" t="s">
        <v>1397</v>
      </c>
      <c r="D377" t="s">
        <v>15</v>
      </c>
      <c r="E377">
        <v>40</v>
      </c>
      <c r="F377" t="str">
        <f t="shared" si="10"/>
        <v>Adult</v>
      </c>
      <c r="G377" t="s">
        <v>1398</v>
      </c>
      <c r="H377" t="str">
        <f t="shared" si="11"/>
        <v>Oct</v>
      </c>
      <c r="I377" t="s">
        <v>17</v>
      </c>
      <c r="J377" t="s">
        <v>101</v>
      </c>
      <c r="K377" t="s">
        <v>1399</v>
      </c>
      <c r="L377" t="s">
        <v>107</v>
      </c>
      <c r="M377" t="s">
        <v>21</v>
      </c>
      <c r="N377">
        <v>4</v>
      </c>
      <c r="O377" t="s">
        <v>22</v>
      </c>
      <c r="P377">
        <v>4112.79</v>
      </c>
      <c r="Q377" t="s">
        <v>35</v>
      </c>
      <c r="R377" t="s">
        <v>36</v>
      </c>
      <c r="S377">
        <v>560001</v>
      </c>
      <c r="T377" t="s">
        <v>25</v>
      </c>
      <c r="U377" t="s">
        <v>26</v>
      </c>
    </row>
    <row r="378" spans="1:21" x14ac:dyDescent="0.3">
      <c r="A378">
        <v>377</v>
      </c>
      <c r="B378" t="s">
        <v>1400</v>
      </c>
      <c r="C378" t="s">
        <v>1401</v>
      </c>
      <c r="D378" t="s">
        <v>15</v>
      </c>
      <c r="E378">
        <v>41</v>
      </c>
      <c r="F378" t="str">
        <f t="shared" si="10"/>
        <v>Adult</v>
      </c>
      <c r="G378" t="s">
        <v>292</v>
      </c>
      <c r="H378" t="str">
        <f t="shared" si="11"/>
        <v>May</v>
      </c>
      <c r="I378" t="s">
        <v>48</v>
      </c>
      <c r="J378" t="s">
        <v>79</v>
      </c>
      <c r="K378" t="s">
        <v>1402</v>
      </c>
      <c r="L378" t="s">
        <v>20</v>
      </c>
      <c r="M378" t="s">
        <v>85</v>
      </c>
      <c r="N378">
        <v>5</v>
      </c>
      <c r="O378" t="s">
        <v>22</v>
      </c>
      <c r="P378">
        <v>3870.96</v>
      </c>
      <c r="Q378" t="s">
        <v>74</v>
      </c>
      <c r="R378" t="s">
        <v>75</v>
      </c>
      <c r="S378">
        <v>226001</v>
      </c>
      <c r="T378" t="s">
        <v>25</v>
      </c>
      <c r="U378" t="s">
        <v>44</v>
      </c>
    </row>
    <row r="379" spans="1:21" x14ac:dyDescent="0.3">
      <c r="A379">
        <v>378</v>
      </c>
      <c r="B379" t="s">
        <v>1403</v>
      </c>
      <c r="C379" t="s">
        <v>1404</v>
      </c>
      <c r="D379" t="s">
        <v>15</v>
      </c>
      <c r="E379">
        <v>46</v>
      </c>
      <c r="F379" t="str">
        <f t="shared" si="10"/>
        <v>Adult</v>
      </c>
      <c r="G379" t="s">
        <v>1405</v>
      </c>
      <c r="H379" t="str">
        <f t="shared" si="11"/>
        <v>Oct</v>
      </c>
      <c r="I379" t="s">
        <v>48</v>
      </c>
      <c r="J379" t="s">
        <v>101</v>
      </c>
      <c r="K379" t="s">
        <v>1406</v>
      </c>
      <c r="L379" t="s">
        <v>107</v>
      </c>
      <c r="M379" t="s">
        <v>34</v>
      </c>
      <c r="N379">
        <v>5</v>
      </c>
      <c r="O379" t="s">
        <v>22</v>
      </c>
      <c r="P379">
        <v>4890.38</v>
      </c>
      <c r="Q379" t="s">
        <v>23</v>
      </c>
      <c r="R379" t="s">
        <v>24</v>
      </c>
      <c r="S379">
        <v>400001</v>
      </c>
      <c r="T379" t="s">
        <v>25</v>
      </c>
      <c r="U379" t="s">
        <v>44</v>
      </c>
    </row>
    <row r="380" spans="1:21" x14ac:dyDescent="0.3">
      <c r="A380">
        <v>379</v>
      </c>
      <c r="B380" t="s">
        <v>1407</v>
      </c>
      <c r="C380" t="s">
        <v>1408</v>
      </c>
      <c r="D380" t="s">
        <v>15</v>
      </c>
      <c r="E380">
        <v>55</v>
      </c>
      <c r="F380" t="str">
        <f t="shared" si="10"/>
        <v>Senior</v>
      </c>
      <c r="G380" t="s">
        <v>968</v>
      </c>
      <c r="H380" t="str">
        <f t="shared" si="11"/>
        <v>Mar</v>
      </c>
      <c r="I380" t="s">
        <v>17</v>
      </c>
      <c r="J380" t="s">
        <v>101</v>
      </c>
      <c r="K380" t="s">
        <v>1409</v>
      </c>
      <c r="L380" t="s">
        <v>62</v>
      </c>
      <c r="M380" t="s">
        <v>21</v>
      </c>
      <c r="N380">
        <v>5</v>
      </c>
      <c r="O380" t="s">
        <v>22</v>
      </c>
      <c r="P380">
        <v>1525.16</v>
      </c>
      <c r="Q380" t="s">
        <v>74</v>
      </c>
      <c r="R380" t="s">
        <v>75</v>
      </c>
      <c r="S380">
        <v>226001</v>
      </c>
      <c r="T380" t="s">
        <v>25</v>
      </c>
      <c r="U380" t="s">
        <v>26</v>
      </c>
    </row>
    <row r="381" spans="1:21" x14ac:dyDescent="0.3">
      <c r="A381">
        <v>380</v>
      </c>
      <c r="B381" t="s">
        <v>1410</v>
      </c>
      <c r="C381" t="s">
        <v>1411</v>
      </c>
      <c r="D381" t="s">
        <v>15</v>
      </c>
      <c r="E381">
        <v>37</v>
      </c>
      <c r="F381" t="str">
        <f t="shared" si="10"/>
        <v>Adult</v>
      </c>
      <c r="G381" t="s">
        <v>1412</v>
      </c>
      <c r="H381" t="str">
        <f t="shared" si="11"/>
        <v>Jul</v>
      </c>
      <c r="I381" t="s">
        <v>60</v>
      </c>
      <c r="J381" t="s">
        <v>18</v>
      </c>
      <c r="K381" t="s">
        <v>1413</v>
      </c>
      <c r="L381" t="s">
        <v>62</v>
      </c>
      <c r="M381" t="s">
        <v>50</v>
      </c>
      <c r="N381">
        <v>5</v>
      </c>
      <c r="O381" t="s">
        <v>22</v>
      </c>
      <c r="P381">
        <v>4591.01</v>
      </c>
      <c r="Q381" t="s">
        <v>74</v>
      </c>
      <c r="R381" t="s">
        <v>75</v>
      </c>
      <c r="S381">
        <v>226001</v>
      </c>
      <c r="T381" t="s">
        <v>25</v>
      </c>
      <c r="U381" t="s">
        <v>44</v>
      </c>
    </row>
    <row r="382" spans="1:21" x14ac:dyDescent="0.3">
      <c r="A382">
        <v>381</v>
      </c>
      <c r="B382" t="s">
        <v>1414</v>
      </c>
      <c r="C382" t="s">
        <v>1415</v>
      </c>
      <c r="D382" t="s">
        <v>15</v>
      </c>
      <c r="E382">
        <v>60</v>
      </c>
      <c r="F382" t="str">
        <f t="shared" si="10"/>
        <v>Senior</v>
      </c>
      <c r="G382" t="s">
        <v>1012</v>
      </c>
      <c r="H382" t="str">
        <f t="shared" si="11"/>
        <v>Oct</v>
      </c>
      <c r="I382" t="s">
        <v>17</v>
      </c>
      <c r="J382" t="s">
        <v>31</v>
      </c>
      <c r="K382" t="s">
        <v>1416</v>
      </c>
      <c r="L382" t="s">
        <v>20</v>
      </c>
      <c r="M382" t="s">
        <v>50</v>
      </c>
      <c r="N382">
        <v>2</v>
      </c>
      <c r="O382" t="s">
        <v>22</v>
      </c>
      <c r="P382">
        <v>345.24</v>
      </c>
      <c r="Q382" t="s">
        <v>23</v>
      </c>
      <c r="R382" t="s">
        <v>24</v>
      </c>
      <c r="S382">
        <v>400001</v>
      </c>
      <c r="T382" t="s">
        <v>25</v>
      </c>
      <c r="U382" t="s">
        <v>44</v>
      </c>
    </row>
    <row r="383" spans="1:21" x14ac:dyDescent="0.3">
      <c r="A383">
        <v>382</v>
      </c>
      <c r="B383" t="s">
        <v>1417</v>
      </c>
      <c r="C383" t="s">
        <v>1418</v>
      </c>
      <c r="D383" t="s">
        <v>15</v>
      </c>
      <c r="E383">
        <v>58</v>
      </c>
      <c r="F383" t="str">
        <f t="shared" si="10"/>
        <v>Senior</v>
      </c>
      <c r="G383" t="s">
        <v>740</v>
      </c>
      <c r="H383" t="str">
        <f t="shared" si="11"/>
        <v>Sep</v>
      </c>
      <c r="I383" t="s">
        <v>17</v>
      </c>
      <c r="J383" t="s">
        <v>31</v>
      </c>
      <c r="K383" t="s">
        <v>1419</v>
      </c>
      <c r="L383" t="s">
        <v>20</v>
      </c>
      <c r="M383" t="s">
        <v>85</v>
      </c>
      <c r="N383">
        <v>1</v>
      </c>
      <c r="O383" t="s">
        <v>22</v>
      </c>
      <c r="P383">
        <v>3975.99</v>
      </c>
      <c r="Q383" t="s">
        <v>42</v>
      </c>
      <c r="R383" t="s">
        <v>43</v>
      </c>
      <c r="S383">
        <v>302001</v>
      </c>
      <c r="T383" t="s">
        <v>25</v>
      </c>
      <c r="U383" t="s">
        <v>44</v>
      </c>
    </row>
    <row r="384" spans="1:21" x14ac:dyDescent="0.3">
      <c r="A384">
        <v>383</v>
      </c>
      <c r="B384" t="s">
        <v>1420</v>
      </c>
      <c r="C384" t="s">
        <v>1421</v>
      </c>
      <c r="D384" t="s">
        <v>15</v>
      </c>
      <c r="E384">
        <v>20</v>
      </c>
      <c r="F384" t="str">
        <f t="shared" si="10"/>
        <v>Teenager</v>
      </c>
      <c r="G384" t="s">
        <v>1364</v>
      </c>
      <c r="H384" t="str">
        <f t="shared" si="11"/>
        <v>Mar</v>
      </c>
      <c r="I384" t="s">
        <v>17</v>
      </c>
      <c r="J384" t="s">
        <v>31</v>
      </c>
      <c r="K384" t="s">
        <v>1422</v>
      </c>
      <c r="L384" t="s">
        <v>33</v>
      </c>
      <c r="M384" t="s">
        <v>85</v>
      </c>
      <c r="N384">
        <v>4</v>
      </c>
      <c r="O384" t="s">
        <v>22</v>
      </c>
      <c r="P384">
        <v>1369.88</v>
      </c>
      <c r="Q384" t="s">
        <v>42</v>
      </c>
      <c r="R384" t="s">
        <v>43</v>
      </c>
      <c r="S384">
        <v>302001</v>
      </c>
      <c r="T384" t="s">
        <v>25</v>
      </c>
      <c r="U384" t="s">
        <v>44</v>
      </c>
    </row>
    <row r="385" spans="1:21" x14ac:dyDescent="0.3">
      <c r="A385">
        <v>384</v>
      </c>
      <c r="B385" t="s">
        <v>1423</v>
      </c>
      <c r="C385" t="s">
        <v>1424</v>
      </c>
      <c r="D385" t="s">
        <v>15</v>
      </c>
      <c r="E385">
        <v>20</v>
      </c>
      <c r="F385" t="str">
        <f t="shared" si="10"/>
        <v>Teenager</v>
      </c>
      <c r="G385" t="s">
        <v>740</v>
      </c>
      <c r="H385" t="str">
        <f t="shared" si="11"/>
        <v>Sep</v>
      </c>
      <c r="I385" t="s">
        <v>17</v>
      </c>
      <c r="J385" t="s">
        <v>31</v>
      </c>
      <c r="K385" t="s">
        <v>1425</v>
      </c>
      <c r="L385" t="s">
        <v>20</v>
      </c>
      <c r="M385" t="s">
        <v>50</v>
      </c>
      <c r="N385">
        <v>4</v>
      </c>
      <c r="O385" t="s">
        <v>22</v>
      </c>
      <c r="P385">
        <v>1372.43</v>
      </c>
      <c r="Q385" t="s">
        <v>23</v>
      </c>
      <c r="R385" t="s">
        <v>24</v>
      </c>
      <c r="S385">
        <v>400001</v>
      </c>
      <c r="T385" t="s">
        <v>25</v>
      </c>
      <c r="U385" t="s">
        <v>44</v>
      </c>
    </row>
    <row r="386" spans="1:21" x14ac:dyDescent="0.3">
      <c r="A386">
        <v>385</v>
      </c>
      <c r="B386" t="s">
        <v>1426</v>
      </c>
      <c r="C386" t="s">
        <v>1427</v>
      </c>
      <c r="D386" t="s">
        <v>15</v>
      </c>
      <c r="E386">
        <v>48</v>
      </c>
      <c r="F386" t="str">
        <f t="shared" si="10"/>
        <v>Adult</v>
      </c>
      <c r="G386" t="s">
        <v>78</v>
      </c>
      <c r="H386" t="str">
        <f t="shared" si="11"/>
        <v>Aug</v>
      </c>
      <c r="I386" t="s">
        <v>60</v>
      </c>
      <c r="J386" t="s">
        <v>31</v>
      </c>
      <c r="K386" t="s">
        <v>1428</v>
      </c>
      <c r="L386" t="s">
        <v>33</v>
      </c>
      <c r="M386" t="s">
        <v>34</v>
      </c>
      <c r="N386">
        <v>1</v>
      </c>
      <c r="O386" t="s">
        <v>22</v>
      </c>
      <c r="P386">
        <v>4403.58</v>
      </c>
      <c r="Q386" t="s">
        <v>35</v>
      </c>
      <c r="R386" t="s">
        <v>36</v>
      </c>
      <c r="S386">
        <v>560001</v>
      </c>
      <c r="T386" t="s">
        <v>25</v>
      </c>
      <c r="U386" t="s">
        <v>26</v>
      </c>
    </row>
    <row r="387" spans="1:21" x14ac:dyDescent="0.3">
      <c r="A387">
        <v>386</v>
      </c>
      <c r="B387" t="s">
        <v>1429</v>
      </c>
      <c r="C387" t="s">
        <v>1430</v>
      </c>
      <c r="D387" t="s">
        <v>15</v>
      </c>
      <c r="E387">
        <v>46</v>
      </c>
      <c r="F387" t="str">
        <f t="shared" ref="F387:F450" si="12">IF(E387&gt;=50,"Senior", IF(E387&gt;=30, "Adult","Teenager"))</f>
        <v>Adult</v>
      </c>
      <c r="G387" t="s">
        <v>1431</v>
      </c>
      <c r="H387" t="str">
        <f t="shared" ref="H387:H450" si="13">TEXT(G387,"MMM")</f>
        <v>Jul</v>
      </c>
      <c r="I387" t="s">
        <v>48</v>
      </c>
      <c r="J387" t="s">
        <v>31</v>
      </c>
      <c r="K387" t="s">
        <v>1432</v>
      </c>
      <c r="L387" t="s">
        <v>73</v>
      </c>
      <c r="M387" t="s">
        <v>21</v>
      </c>
      <c r="N387">
        <v>4</v>
      </c>
      <c r="O387" t="s">
        <v>22</v>
      </c>
      <c r="P387">
        <v>2627.6</v>
      </c>
      <c r="Q387" t="s">
        <v>74</v>
      </c>
      <c r="R387" t="s">
        <v>75</v>
      </c>
      <c r="S387">
        <v>226001</v>
      </c>
      <c r="T387" t="s">
        <v>25</v>
      </c>
      <c r="U387" t="s">
        <v>44</v>
      </c>
    </row>
    <row r="388" spans="1:21" x14ac:dyDescent="0.3">
      <c r="A388">
        <v>387</v>
      </c>
      <c r="B388" t="s">
        <v>1433</v>
      </c>
      <c r="C388" t="s">
        <v>1434</v>
      </c>
      <c r="D388" t="s">
        <v>15</v>
      </c>
      <c r="E388">
        <v>51</v>
      </c>
      <c r="F388" t="str">
        <f t="shared" si="12"/>
        <v>Senior</v>
      </c>
      <c r="G388" t="s">
        <v>292</v>
      </c>
      <c r="H388" t="str">
        <f t="shared" si="13"/>
        <v>May</v>
      </c>
      <c r="I388" t="s">
        <v>48</v>
      </c>
      <c r="J388" t="s">
        <v>31</v>
      </c>
      <c r="K388" t="s">
        <v>1435</v>
      </c>
      <c r="L388" t="s">
        <v>73</v>
      </c>
      <c r="M388" t="s">
        <v>21</v>
      </c>
      <c r="N388">
        <v>1</v>
      </c>
      <c r="O388" t="s">
        <v>22</v>
      </c>
      <c r="P388">
        <v>455.71</v>
      </c>
      <c r="Q388" t="s">
        <v>42</v>
      </c>
      <c r="R388" t="s">
        <v>43</v>
      </c>
      <c r="S388">
        <v>302001</v>
      </c>
      <c r="T388" t="s">
        <v>25</v>
      </c>
      <c r="U388" t="s">
        <v>44</v>
      </c>
    </row>
    <row r="389" spans="1:21" x14ac:dyDescent="0.3">
      <c r="A389">
        <v>388</v>
      </c>
      <c r="B389" t="s">
        <v>1436</v>
      </c>
      <c r="C389" t="s">
        <v>1437</v>
      </c>
      <c r="D389" t="s">
        <v>15</v>
      </c>
      <c r="E389">
        <v>46</v>
      </c>
      <c r="F389" t="str">
        <f t="shared" si="12"/>
        <v>Adult</v>
      </c>
      <c r="G389" t="s">
        <v>288</v>
      </c>
      <c r="H389" t="str">
        <f t="shared" si="13"/>
        <v>Apr</v>
      </c>
      <c r="I389" t="s">
        <v>17</v>
      </c>
      <c r="J389" t="s">
        <v>31</v>
      </c>
      <c r="K389" t="s">
        <v>1438</v>
      </c>
      <c r="L389" t="s">
        <v>73</v>
      </c>
      <c r="M389" t="s">
        <v>85</v>
      </c>
      <c r="N389">
        <v>3</v>
      </c>
      <c r="O389" t="s">
        <v>22</v>
      </c>
      <c r="P389">
        <v>1972.83</v>
      </c>
      <c r="Q389" t="s">
        <v>74</v>
      </c>
      <c r="R389" t="s">
        <v>75</v>
      </c>
      <c r="S389">
        <v>226001</v>
      </c>
      <c r="T389" t="s">
        <v>25</v>
      </c>
      <c r="U389" t="s">
        <v>26</v>
      </c>
    </row>
    <row r="390" spans="1:21" x14ac:dyDescent="0.3">
      <c r="A390">
        <v>389</v>
      </c>
      <c r="B390" t="s">
        <v>1439</v>
      </c>
      <c r="C390" t="s">
        <v>1440</v>
      </c>
      <c r="D390" t="s">
        <v>15</v>
      </c>
      <c r="E390">
        <v>55</v>
      </c>
      <c r="F390" t="str">
        <f t="shared" si="12"/>
        <v>Senior</v>
      </c>
      <c r="G390" t="s">
        <v>1441</v>
      </c>
      <c r="H390" t="str">
        <f t="shared" si="13"/>
        <v>Dec</v>
      </c>
      <c r="I390" t="s">
        <v>60</v>
      </c>
      <c r="J390" t="s">
        <v>31</v>
      </c>
      <c r="K390" t="s">
        <v>1442</v>
      </c>
      <c r="L390" t="s">
        <v>33</v>
      </c>
      <c r="M390" t="s">
        <v>34</v>
      </c>
      <c r="N390">
        <v>2</v>
      </c>
      <c r="O390" t="s">
        <v>22</v>
      </c>
      <c r="P390">
        <v>4584.6499999999996</v>
      </c>
      <c r="Q390" t="s">
        <v>23</v>
      </c>
      <c r="R390" t="s">
        <v>24</v>
      </c>
      <c r="S390">
        <v>400001</v>
      </c>
      <c r="T390" t="s">
        <v>25</v>
      </c>
      <c r="U390" t="s">
        <v>26</v>
      </c>
    </row>
    <row r="391" spans="1:21" x14ac:dyDescent="0.3">
      <c r="A391">
        <v>390</v>
      </c>
      <c r="B391" t="s">
        <v>1443</v>
      </c>
      <c r="C391" t="s">
        <v>1444</v>
      </c>
      <c r="D391" t="s">
        <v>15</v>
      </c>
      <c r="E391">
        <v>53</v>
      </c>
      <c r="F391" t="str">
        <f t="shared" si="12"/>
        <v>Senior</v>
      </c>
      <c r="G391" t="s">
        <v>1012</v>
      </c>
      <c r="H391" t="str">
        <f t="shared" si="13"/>
        <v>Oct</v>
      </c>
      <c r="I391" t="s">
        <v>17</v>
      </c>
      <c r="J391" t="s">
        <v>31</v>
      </c>
      <c r="K391" t="s">
        <v>1445</v>
      </c>
      <c r="L391" t="s">
        <v>62</v>
      </c>
      <c r="M391" t="s">
        <v>21</v>
      </c>
      <c r="N391">
        <v>2</v>
      </c>
      <c r="O391" t="s">
        <v>22</v>
      </c>
      <c r="P391">
        <v>2650.77</v>
      </c>
      <c r="Q391" t="s">
        <v>23</v>
      </c>
      <c r="R391" t="s">
        <v>24</v>
      </c>
      <c r="S391">
        <v>400001</v>
      </c>
      <c r="T391" t="s">
        <v>25</v>
      </c>
      <c r="U391" t="s">
        <v>44</v>
      </c>
    </row>
    <row r="392" spans="1:21" x14ac:dyDescent="0.3">
      <c r="A392">
        <v>391</v>
      </c>
      <c r="B392" t="s">
        <v>1446</v>
      </c>
      <c r="C392" t="s">
        <v>77</v>
      </c>
      <c r="D392" t="s">
        <v>15</v>
      </c>
      <c r="E392">
        <v>30</v>
      </c>
      <c r="F392" t="str">
        <f t="shared" si="12"/>
        <v>Adult</v>
      </c>
      <c r="G392" t="s">
        <v>946</v>
      </c>
      <c r="H392" t="str">
        <f t="shared" si="13"/>
        <v>Dec</v>
      </c>
      <c r="I392" t="s">
        <v>17</v>
      </c>
      <c r="J392" t="s">
        <v>31</v>
      </c>
      <c r="K392" t="s">
        <v>1447</v>
      </c>
      <c r="L392" t="s">
        <v>107</v>
      </c>
      <c r="M392" t="s">
        <v>21</v>
      </c>
      <c r="N392">
        <v>4</v>
      </c>
      <c r="O392" t="s">
        <v>22</v>
      </c>
      <c r="P392">
        <v>1587.19</v>
      </c>
      <c r="Q392" t="s">
        <v>74</v>
      </c>
      <c r="R392" t="s">
        <v>75</v>
      </c>
      <c r="S392">
        <v>226001</v>
      </c>
      <c r="T392" t="s">
        <v>25</v>
      </c>
      <c r="U392" t="s">
        <v>44</v>
      </c>
    </row>
    <row r="393" spans="1:21" x14ac:dyDescent="0.3">
      <c r="A393">
        <v>392</v>
      </c>
      <c r="B393" t="s">
        <v>1448</v>
      </c>
      <c r="C393" t="s">
        <v>1449</v>
      </c>
      <c r="D393" t="s">
        <v>15</v>
      </c>
      <c r="E393">
        <v>33</v>
      </c>
      <c r="F393" t="str">
        <f t="shared" si="12"/>
        <v>Adult</v>
      </c>
      <c r="G393" t="s">
        <v>1450</v>
      </c>
      <c r="H393" t="str">
        <f t="shared" si="13"/>
        <v>Jul</v>
      </c>
      <c r="I393" t="s">
        <v>17</v>
      </c>
      <c r="J393" t="s">
        <v>31</v>
      </c>
      <c r="K393" t="s">
        <v>1451</v>
      </c>
      <c r="L393" t="s">
        <v>20</v>
      </c>
      <c r="M393" t="s">
        <v>34</v>
      </c>
      <c r="N393">
        <v>1</v>
      </c>
      <c r="O393" t="s">
        <v>22</v>
      </c>
      <c r="P393">
        <v>402.01</v>
      </c>
      <c r="Q393" t="s">
        <v>35</v>
      </c>
      <c r="R393" t="s">
        <v>36</v>
      </c>
      <c r="S393">
        <v>560001</v>
      </c>
      <c r="T393" t="s">
        <v>25</v>
      </c>
      <c r="U393" t="s">
        <v>44</v>
      </c>
    </row>
    <row r="394" spans="1:21" x14ac:dyDescent="0.3">
      <c r="A394">
        <v>393</v>
      </c>
      <c r="B394" t="s">
        <v>1452</v>
      </c>
      <c r="C394" t="s">
        <v>1453</v>
      </c>
      <c r="D394" t="s">
        <v>15</v>
      </c>
      <c r="E394">
        <v>25</v>
      </c>
      <c r="F394" t="str">
        <f t="shared" si="12"/>
        <v>Teenager</v>
      </c>
      <c r="G394" t="s">
        <v>258</v>
      </c>
      <c r="H394" t="str">
        <f t="shared" si="13"/>
        <v>Mar</v>
      </c>
      <c r="I394" t="s">
        <v>48</v>
      </c>
      <c r="J394" t="s">
        <v>31</v>
      </c>
      <c r="K394" t="s">
        <v>1454</v>
      </c>
      <c r="L394" t="s">
        <v>56</v>
      </c>
      <c r="M394" t="s">
        <v>21</v>
      </c>
      <c r="N394">
        <v>4</v>
      </c>
      <c r="O394" t="s">
        <v>22</v>
      </c>
      <c r="P394">
        <v>2201.14</v>
      </c>
      <c r="Q394" t="s">
        <v>35</v>
      </c>
      <c r="R394" t="s">
        <v>36</v>
      </c>
      <c r="S394">
        <v>560001</v>
      </c>
      <c r="T394" t="s">
        <v>25</v>
      </c>
      <c r="U394" t="s">
        <v>44</v>
      </c>
    </row>
    <row r="395" spans="1:21" x14ac:dyDescent="0.3">
      <c r="A395">
        <v>394</v>
      </c>
      <c r="B395" t="s">
        <v>1455</v>
      </c>
      <c r="C395" t="s">
        <v>1456</v>
      </c>
      <c r="D395" t="s">
        <v>15</v>
      </c>
      <c r="E395">
        <v>51</v>
      </c>
      <c r="F395" t="str">
        <f t="shared" si="12"/>
        <v>Senior</v>
      </c>
      <c r="G395" t="s">
        <v>1457</v>
      </c>
      <c r="H395" t="str">
        <f t="shared" si="13"/>
        <v>Mar</v>
      </c>
      <c r="I395" t="s">
        <v>70</v>
      </c>
      <c r="J395" t="s">
        <v>31</v>
      </c>
      <c r="K395" t="s">
        <v>1458</v>
      </c>
      <c r="L395" t="s">
        <v>56</v>
      </c>
      <c r="M395" t="s">
        <v>34</v>
      </c>
      <c r="N395">
        <v>2</v>
      </c>
      <c r="O395" t="s">
        <v>22</v>
      </c>
      <c r="P395">
        <v>3401.02</v>
      </c>
      <c r="Q395" t="s">
        <v>51</v>
      </c>
      <c r="R395" t="s">
        <v>51</v>
      </c>
      <c r="S395">
        <v>110001</v>
      </c>
      <c r="T395" t="s">
        <v>25</v>
      </c>
      <c r="U395" t="s">
        <v>26</v>
      </c>
    </row>
    <row r="396" spans="1:21" x14ac:dyDescent="0.3">
      <c r="A396">
        <v>395</v>
      </c>
      <c r="B396" t="s">
        <v>1459</v>
      </c>
      <c r="C396" t="s">
        <v>1460</v>
      </c>
      <c r="D396" t="s">
        <v>15</v>
      </c>
      <c r="E396">
        <v>27</v>
      </c>
      <c r="F396" t="str">
        <f t="shared" si="12"/>
        <v>Teenager</v>
      </c>
      <c r="G396" t="s">
        <v>1461</v>
      </c>
      <c r="H396" t="str">
        <f t="shared" si="13"/>
        <v>Jun</v>
      </c>
      <c r="I396" t="s">
        <v>60</v>
      </c>
      <c r="J396" t="s">
        <v>31</v>
      </c>
      <c r="K396" t="s">
        <v>1462</v>
      </c>
      <c r="L396" t="s">
        <v>20</v>
      </c>
      <c r="M396" t="s">
        <v>34</v>
      </c>
      <c r="N396">
        <v>4</v>
      </c>
      <c r="O396" t="s">
        <v>22</v>
      </c>
      <c r="P396">
        <v>1300.3900000000001</v>
      </c>
      <c r="Q396" t="s">
        <v>42</v>
      </c>
      <c r="R396" t="s">
        <v>43</v>
      </c>
      <c r="S396">
        <v>302001</v>
      </c>
      <c r="T396" t="s">
        <v>25</v>
      </c>
      <c r="U396" t="s">
        <v>44</v>
      </c>
    </row>
    <row r="397" spans="1:21" x14ac:dyDescent="0.3">
      <c r="A397">
        <v>396</v>
      </c>
      <c r="B397" t="s">
        <v>1463</v>
      </c>
      <c r="C397" t="s">
        <v>1335</v>
      </c>
      <c r="D397" t="s">
        <v>15</v>
      </c>
      <c r="E397">
        <v>51</v>
      </c>
      <c r="F397" t="str">
        <f t="shared" si="12"/>
        <v>Senior</v>
      </c>
      <c r="G397" t="s">
        <v>587</v>
      </c>
      <c r="H397" t="str">
        <f t="shared" si="13"/>
        <v>Apr</v>
      </c>
      <c r="I397" t="s">
        <v>70</v>
      </c>
      <c r="J397" t="s">
        <v>31</v>
      </c>
      <c r="K397" t="s">
        <v>1464</v>
      </c>
      <c r="L397" t="s">
        <v>20</v>
      </c>
      <c r="M397" t="s">
        <v>34</v>
      </c>
      <c r="N397">
        <v>3</v>
      </c>
      <c r="O397" t="s">
        <v>22</v>
      </c>
      <c r="P397">
        <v>3974.63</v>
      </c>
      <c r="Q397" t="s">
        <v>35</v>
      </c>
      <c r="R397" t="s">
        <v>36</v>
      </c>
      <c r="S397">
        <v>560001</v>
      </c>
      <c r="T397" t="s">
        <v>25</v>
      </c>
      <c r="U397" t="s">
        <v>26</v>
      </c>
    </row>
    <row r="398" spans="1:21" x14ac:dyDescent="0.3">
      <c r="A398">
        <v>397</v>
      </c>
      <c r="B398" t="s">
        <v>1465</v>
      </c>
      <c r="C398" t="s">
        <v>1466</v>
      </c>
      <c r="D398" t="s">
        <v>15</v>
      </c>
      <c r="E398">
        <v>27</v>
      </c>
      <c r="F398" t="str">
        <f t="shared" si="12"/>
        <v>Teenager</v>
      </c>
      <c r="G398" t="s">
        <v>864</v>
      </c>
      <c r="H398" t="str">
        <f t="shared" si="13"/>
        <v>May</v>
      </c>
      <c r="I398" t="s">
        <v>60</v>
      </c>
      <c r="J398" t="s">
        <v>31</v>
      </c>
      <c r="K398" t="s">
        <v>1467</v>
      </c>
      <c r="L398" t="s">
        <v>73</v>
      </c>
      <c r="M398" t="s">
        <v>85</v>
      </c>
      <c r="N398">
        <v>1</v>
      </c>
      <c r="O398" t="s">
        <v>22</v>
      </c>
      <c r="P398">
        <v>3277.19</v>
      </c>
      <c r="Q398" t="s">
        <v>42</v>
      </c>
      <c r="R398" t="s">
        <v>43</v>
      </c>
      <c r="S398">
        <v>302001</v>
      </c>
      <c r="T398" t="s">
        <v>25</v>
      </c>
      <c r="U398" t="s">
        <v>44</v>
      </c>
    </row>
    <row r="399" spans="1:21" x14ac:dyDescent="0.3">
      <c r="A399">
        <v>398</v>
      </c>
      <c r="B399" t="s">
        <v>1468</v>
      </c>
      <c r="C399" t="s">
        <v>1469</v>
      </c>
      <c r="D399" t="s">
        <v>15</v>
      </c>
      <c r="E399">
        <v>36</v>
      </c>
      <c r="F399" t="str">
        <f t="shared" si="12"/>
        <v>Adult</v>
      </c>
      <c r="G399" t="s">
        <v>889</v>
      </c>
      <c r="H399" t="str">
        <f t="shared" si="13"/>
        <v>Jan</v>
      </c>
      <c r="I399" t="s">
        <v>17</v>
      </c>
      <c r="J399" t="s">
        <v>31</v>
      </c>
      <c r="K399" t="s">
        <v>1470</v>
      </c>
      <c r="L399" t="s">
        <v>56</v>
      </c>
      <c r="M399" t="s">
        <v>34</v>
      </c>
      <c r="N399">
        <v>4</v>
      </c>
      <c r="O399" t="s">
        <v>22</v>
      </c>
      <c r="P399">
        <v>4632.2700000000004</v>
      </c>
      <c r="Q399" t="s">
        <v>35</v>
      </c>
      <c r="R399" t="s">
        <v>36</v>
      </c>
      <c r="S399">
        <v>560001</v>
      </c>
      <c r="T399" t="s">
        <v>25</v>
      </c>
      <c r="U399" t="s">
        <v>26</v>
      </c>
    </row>
    <row r="400" spans="1:21" x14ac:dyDescent="0.3">
      <c r="A400">
        <v>399</v>
      </c>
      <c r="B400" t="s">
        <v>1471</v>
      </c>
      <c r="C400" t="s">
        <v>1472</v>
      </c>
      <c r="D400" t="s">
        <v>15</v>
      </c>
      <c r="E400">
        <v>34</v>
      </c>
      <c r="F400" t="str">
        <f t="shared" si="12"/>
        <v>Adult</v>
      </c>
      <c r="G400" t="s">
        <v>1307</v>
      </c>
      <c r="H400" t="str">
        <f t="shared" si="13"/>
        <v>Feb</v>
      </c>
      <c r="I400" t="s">
        <v>48</v>
      </c>
      <c r="J400" t="s">
        <v>31</v>
      </c>
      <c r="K400" t="s">
        <v>1473</v>
      </c>
      <c r="L400" t="s">
        <v>56</v>
      </c>
      <c r="M400" t="s">
        <v>21</v>
      </c>
      <c r="N400">
        <v>5</v>
      </c>
      <c r="O400" t="s">
        <v>22</v>
      </c>
      <c r="P400">
        <v>3158.18</v>
      </c>
      <c r="Q400" t="s">
        <v>74</v>
      </c>
      <c r="R400" t="s">
        <v>75</v>
      </c>
      <c r="S400">
        <v>226001</v>
      </c>
      <c r="T400" t="s">
        <v>25</v>
      </c>
      <c r="U400" t="s">
        <v>44</v>
      </c>
    </row>
    <row r="401" spans="1:21" x14ac:dyDescent="0.3">
      <c r="A401">
        <v>400</v>
      </c>
      <c r="B401" t="s">
        <v>1474</v>
      </c>
      <c r="C401" t="s">
        <v>480</v>
      </c>
      <c r="D401" t="s">
        <v>15</v>
      </c>
      <c r="E401">
        <v>23</v>
      </c>
      <c r="F401" t="str">
        <f t="shared" si="12"/>
        <v>Teenager</v>
      </c>
      <c r="G401" t="s">
        <v>553</v>
      </c>
      <c r="H401" t="str">
        <f t="shared" si="13"/>
        <v>Nov</v>
      </c>
      <c r="I401" t="s">
        <v>17</v>
      </c>
      <c r="J401" t="s">
        <v>18</v>
      </c>
      <c r="K401" t="s">
        <v>1475</v>
      </c>
      <c r="L401" t="s">
        <v>56</v>
      </c>
      <c r="M401" t="s">
        <v>21</v>
      </c>
      <c r="N401">
        <v>4</v>
      </c>
      <c r="O401" t="s">
        <v>22</v>
      </c>
      <c r="P401">
        <v>1834.43</v>
      </c>
      <c r="Q401" t="s">
        <v>23</v>
      </c>
      <c r="R401" t="s">
        <v>24</v>
      </c>
      <c r="S401">
        <v>400001</v>
      </c>
      <c r="T401" t="s">
        <v>25</v>
      </c>
      <c r="U401" t="s">
        <v>26</v>
      </c>
    </row>
    <row r="402" spans="1:21" x14ac:dyDescent="0.3">
      <c r="A402">
        <v>401</v>
      </c>
      <c r="B402" t="s">
        <v>1476</v>
      </c>
      <c r="C402" t="s">
        <v>1477</v>
      </c>
      <c r="D402" t="s">
        <v>15</v>
      </c>
      <c r="E402">
        <v>28</v>
      </c>
      <c r="F402" t="str">
        <f t="shared" si="12"/>
        <v>Teenager</v>
      </c>
      <c r="G402" t="s">
        <v>128</v>
      </c>
      <c r="H402" t="str">
        <f t="shared" si="13"/>
        <v>May</v>
      </c>
      <c r="I402" t="s">
        <v>48</v>
      </c>
      <c r="J402" t="s">
        <v>40</v>
      </c>
      <c r="K402" t="s">
        <v>1478</v>
      </c>
      <c r="L402" t="s">
        <v>56</v>
      </c>
      <c r="M402" t="s">
        <v>34</v>
      </c>
      <c r="N402">
        <v>2</v>
      </c>
      <c r="O402" t="s">
        <v>22</v>
      </c>
      <c r="P402">
        <v>1094.81</v>
      </c>
      <c r="Q402" t="s">
        <v>23</v>
      </c>
      <c r="R402" t="s">
        <v>24</v>
      </c>
      <c r="S402">
        <v>400001</v>
      </c>
      <c r="T402" t="s">
        <v>25</v>
      </c>
      <c r="U402" t="s">
        <v>26</v>
      </c>
    </row>
    <row r="403" spans="1:21" x14ac:dyDescent="0.3">
      <c r="A403">
        <v>402</v>
      </c>
      <c r="B403" t="s">
        <v>1479</v>
      </c>
      <c r="C403" t="s">
        <v>1480</v>
      </c>
      <c r="D403" t="s">
        <v>15</v>
      </c>
      <c r="E403">
        <v>20</v>
      </c>
      <c r="F403" t="str">
        <f t="shared" si="12"/>
        <v>Teenager</v>
      </c>
      <c r="G403" t="s">
        <v>167</v>
      </c>
      <c r="H403" t="str">
        <f t="shared" si="13"/>
        <v>Jan</v>
      </c>
      <c r="I403" t="s">
        <v>60</v>
      </c>
      <c r="J403" t="s">
        <v>31</v>
      </c>
      <c r="K403" t="s">
        <v>1481</v>
      </c>
      <c r="L403" t="s">
        <v>56</v>
      </c>
      <c r="M403" t="s">
        <v>21</v>
      </c>
      <c r="N403">
        <v>5</v>
      </c>
      <c r="O403" t="s">
        <v>22</v>
      </c>
      <c r="P403">
        <v>454.31</v>
      </c>
      <c r="Q403" t="s">
        <v>35</v>
      </c>
      <c r="R403" t="s">
        <v>36</v>
      </c>
      <c r="S403">
        <v>560001</v>
      </c>
      <c r="T403" t="s">
        <v>25</v>
      </c>
      <c r="U403" t="s">
        <v>26</v>
      </c>
    </row>
    <row r="404" spans="1:21" x14ac:dyDescent="0.3">
      <c r="A404">
        <v>403</v>
      </c>
      <c r="B404" t="s">
        <v>1482</v>
      </c>
      <c r="C404" t="s">
        <v>1483</v>
      </c>
      <c r="D404" t="s">
        <v>15</v>
      </c>
      <c r="E404">
        <v>35</v>
      </c>
      <c r="F404" t="str">
        <f t="shared" si="12"/>
        <v>Adult</v>
      </c>
      <c r="G404" t="s">
        <v>191</v>
      </c>
      <c r="H404" t="str">
        <f t="shared" si="13"/>
        <v>Sep</v>
      </c>
      <c r="I404" t="s">
        <v>48</v>
      </c>
      <c r="J404" t="s">
        <v>31</v>
      </c>
      <c r="K404" t="s">
        <v>1484</v>
      </c>
      <c r="L404" t="s">
        <v>73</v>
      </c>
      <c r="M404" t="s">
        <v>34</v>
      </c>
      <c r="N404">
        <v>3</v>
      </c>
      <c r="O404" t="s">
        <v>22</v>
      </c>
      <c r="P404">
        <v>4752.74</v>
      </c>
      <c r="Q404" t="s">
        <v>51</v>
      </c>
      <c r="R404" t="s">
        <v>51</v>
      </c>
      <c r="S404">
        <v>110001</v>
      </c>
      <c r="T404" t="s">
        <v>25</v>
      </c>
      <c r="U404" t="s">
        <v>44</v>
      </c>
    </row>
    <row r="405" spans="1:21" x14ac:dyDescent="0.3">
      <c r="A405">
        <v>404</v>
      </c>
      <c r="B405" t="s">
        <v>1485</v>
      </c>
      <c r="C405" t="s">
        <v>1486</v>
      </c>
      <c r="D405" t="s">
        <v>15</v>
      </c>
      <c r="E405">
        <v>33</v>
      </c>
      <c r="F405" t="str">
        <f t="shared" si="12"/>
        <v>Adult</v>
      </c>
      <c r="G405" t="s">
        <v>1487</v>
      </c>
      <c r="H405" t="str">
        <f t="shared" si="13"/>
        <v>Aug</v>
      </c>
      <c r="I405" t="s">
        <v>48</v>
      </c>
      <c r="J405" t="s">
        <v>18</v>
      </c>
      <c r="K405" t="s">
        <v>1488</v>
      </c>
      <c r="L405" t="s">
        <v>20</v>
      </c>
      <c r="M405" t="s">
        <v>21</v>
      </c>
      <c r="N405">
        <v>5</v>
      </c>
      <c r="O405" t="s">
        <v>22</v>
      </c>
      <c r="P405">
        <v>3548.49</v>
      </c>
      <c r="Q405" t="s">
        <v>74</v>
      </c>
      <c r="R405" t="s">
        <v>75</v>
      </c>
      <c r="S405">
        <v>226001</v>
      </c>
      <c r="T405" t="s">
        <v>25</v>
      </c>
      <c r="U405" t="s">
        <v>44</v>
      </c>
    </row>
    <row r="406" spans="1:21" x14ac:dyDescent="0.3">
      <c r="A406">
        <v>405</v>
      </c>
      <c r="B406" t="s">
        <v>1489</v>
      </c>
      <c r="C406" t="s">
        <v>1490</v>
      </c>
      <c r="D406" t="s">
        <v>15</v>
      </c>
      <c r="E406">
        <v>35</v>
      </c>
      <c r="F406" t="str">
        <f t="shared" si="12"/>
        <v>Adult</v>
      </c>
      <c r="G406" t="s">
        <v>449</v>
      </c>
      <c r="H406" t="str">
        <f t="shared" si="13"/>
        <v>Aug</v>
      </c>
      <c r="I406" t="s">
        <v>17</v>
      </c>
      <c r="J406" t="s">
        <v>31</v>
      </c>
      <c r="K406" t="s">
        <v>1491</v>
      </c>
      <c r="L406" t="s">
        <v>56</v>
      </c>
      <c r="M406" t="s">
        <v>34</v>
      </c>
      <c r="N406">
        <v>1</v>
      </c>
      <c r="O406" t="s">
        <v>22</v>
      </c>
      <c r="P406">
        <v>1729.93</v>
      </c>
      <c r="Q406" t="s">
        <v>74</v>
      </c>
      <c r="R406" t="s">
        <v>75</v>
      </c>
      <c r="S406">
        <v>226001</v>
      </c>
      <c r="T406" t="s">
        <v>25</v>
      </c>
      <c r="U406" t="s">
        <v>44</v>
      </c>
    </row>
    <row r="407" spans="1:21" x14ac:dyDescent="0.3">
      <c r="A407">
        <v>406</v>
      </c>
      <c r="B407" t="s">
        <v>1492</v>
      </c>
      <c r="C407" t="s">
        <v>1493</v>
      </c>
      <c r="D407" t="s">
        <v>15</v>
      </c>
      <c r="E407">
        <v>25</v>
      </c>
      <c r="F407" t="str">
        <f t="shared" si="12"/>
        <v>Teenager</v>
      </c>
      <c r="G407" t="s">
        <v>670</v>
      </c>
      <c r="H407" t="str">
        <f t="shared" si="13"/>
        <v>Mar</v>
      </c>
      <c r="I407" t="s">
        <v>70</v>
      </c>
      <c r="J407" t="s">
        <v>40</v>
      </c>
      <c r="K407" t="s">
        <v>1494</v>
      </c>
      <c r="L407" t="s">
        <v>20</v>
      </c>
      <c r="M407" t="s">
        <v>85</v>
      </c>
      <c r="N407">
        <v>3</v>
      </c>
      <c r="O407" t="s">
        <v>22</v>
      </c>
      <c r="P407">
        <v>2650.05</v>
      </c>
      <c r="Q407" t="s">
        <v>51</v>
      </c>
      <c r="R407" t="s">
        <v>51</v>
      </c>
      <c r="S407">
        <v>110001</v>
      </c>
      <c r="T407" t="s">
        <v>25</v>
      </c>
      <c r="U407" t="s">
        <v>26</v>
      </c>
    </row>
    <row r="408" spans="1:21" x14ac:dyDescent="0.3">
      <c r="A408">
        <v>407</v>
      </c>
      <c r="B408" t="s">
        <v>1495</v>
      </c>
      <c r="C408" t="s">
        <v>1496</v>
      </c>
      <c r="D408" t="s">
        <v>15</v>
      </c>
      <c r="E408">
        <v>58</v>
      </c>
      <c r="F408" t="str">
        <f t="shared" si="12"/>
        <v>Senior</v>
      </c>
      <c r="G408" t="s">
        <v>426</v>
      </c>
      <c r="H408" t="str">
        <f t="shared" si="13"/>
        <v>Nov</v>
      </c>
      <c r="I408" t="s">
        <v>48</v>
      </c>
      <c r="J408" t="s">
        <v>79</v>
      </c>
      <c r="K408" t="s">
        <v>1497</v>
      </c>
      <c r="L408" t="s">
        <v>73</v>
      </c>
      <c r="M408" t="s">
        <v>21</v>
      </c>
      <c r="N408">
        <v>5</v>
      </c>
      <c r="O408" t="s">
        <v>22</v>
      </c>
      <c r="P408">
        <v>559.33000000000004</v>
      </c>
      <c r="Q408" t="s">
        <v>42</v>
      </c>
      <c r="R408" t="s">
        <v>43</v>
      </c>
      <c r="S408">
        <v>302001</v>
      </c>
      <c r="T408" t="s">
        <v>25</v>
      </c>
      <c r="U408" t="s">
        <v>26</v>
      </c>
    </row>
    <row r="409" spans="1:21" x14ac:dyDescent="0.3">
      <c r="A409">
        <v>408</v>
      </c>
      <c r="B409" t="s">
        <v>1498</v>
      </c>
      <c r="C409" t="s">
        <v>1499</v>
      </c>
      <c r="D409" t="s">
        <v>15</v>
      </c>
      <c r="E409">
        <v>50</v>
      </c>
      <c r="F409" t="str">
        <f t="shared" si="12"/>
        <v>Senior</v>
      </c>
      <c r="G409" t="s">
        <v>684</v>
      </c>
      <c r="H409" t="str">
        <f t="shared" si="13"/>
        <v>Oct</v>
      </c>
      <c r="I409" t="s">
        <v>60</v>
      </c>
      <c r="J409" t="s">
        <v>40</v>
      </c>
      <c r="K409" t="s">
        <v>1500</v>
      </c>
      <c r="L409" t="s">
        <v>33</v>
      </c>
      <c r="M409" t="s">
        <v>21</v>
      </c>
      <c r="N409">
        <v>4</v>
      </c>
      <c r="O409" t="s">
        <v>22</v>
      </c>
      <c r="P409">
        <v>1170.1500000000001</v>
      </c>
      <c r="Q409" t="s">
        <v>23</v>
      </c>
      <c r="R409" t="s">
        <v>24</v>
      </c>
      <c r="S409">
        <v>400001</v>
      </c>
      <c r="T409" t="s">
        <v>25</v>
      </c>
      <c r="U409" t="s">
        <v>26</v>
      </c>
    </row>
    <row r="410" spans="1:21" x14ac:dyDescent="0.3">
      <c r="A410">
        <v>409</v>
      </c>
      <c r="B410" t="s">
        <v>1501</v>
      </c>
      <c r="C410" t="s">
        <v>1502</v>
      </c>
      <c r="D410" t="s">
        <v>15</v>
      </c>
      <c r="E410">
        <v>37</v>
      </c>
      <c r="F410" t="str">
        <f t="shared" si="12"/>
        <v>Adult</v>
      </c>
      <c r="G410" t="s">
        <v>1457</v>
      </c>
      <c r="H410" t="str">
        <f t="shared" si="13"/>
        <v>Mar</v>
      </c>
      <c r="I410" t="s">
        <v>60</v>
      </c>
      <c r="J410" t="s">
        <v>40</v>
      </c>
      <c r="K410" t="s">
        <v>1503</v>
      </c>
      <c r="L410" t="s">
        <v>33</v>
      </c>
      <c r="M410" t="s">
        <v>50</v>
      </c>
      <c r="N410">
        <v>4</v>
      </c>
      <c r="O410" t="s">
        <v>22</v>
      </c>
      <c r="P410">
        <v>3642.1</v>
      </c>
      <c r="Q410" t="s">
        <v>74</v>
      </c>
      <c r="R410" t="s">
        <v>75</v>
      </c>
      <c r="S410">
        <v>226001</v>
      </c>
      <c r="T410" t="s">
        <v>25</v>
      </c>
      <c r="U410" t="s">
        <v>26</v>
      </c>
    </row>
    <row r="411" spans="1:21" x14ac:dyDescent="0.3">
      <c r="A411">
        <v>410</v>
      </c>
      <c r="B411" t="s">
        <v>1504</v>
      </c>
      <c r="C411" t="s">
        <v>1505</v>
      </c>
      <c r="D411" t="s">
        <v>15</v>
      </c>
      <c r="E411">
        <v>35</v>
      </c>
      <c r="F411" t="str">
        <f t="shared" si="12"/>
        <v>Adult</v>
      </c>
      <c r="G411" t="s">
        <v>757</v>
      </c>
      <c r="H411" t="str">
        <f t="shared" si="13"/>
        <v>Dec</v>
      </c>
      <c r="I411" t="s">
        <v>17</v>
      </c>
      <c r="J411" t="s">
        <v>40</v>
      </c>
      <c r="K411" t="s">
        <v>1506</v>
      </c>
      <c r="L411" t="s">
        <v>20</v>
      </c>
      <c r="M411" t="s">
        <v>50</v>
      </c>
      <c r="N411">
        <v>3</v>
      </c>
      <c r="O411" t="s">
        <v>22</v>
      </c>
      <c r="P411">
        <v>299.68</v>
      </c>
      <c r="Q411" t="s">
        <v>42</v>
      </c>
      <c r="R411" t="s">
        <v>43</v>
      </c>
      <c r="S411">
        <v>302001</v>
      </c>
      <c r="T411" t="s">
        <v>25</v>
      </c>
      <c r="U411" t="s">
        <v>26</v>
      </c>
    </row>
    <row r="412" spans="1:21" x14ac:dyDescent="0.3">
      <c r="A412">
        <v>411</v>
      </c>
      <c r="B412" t="s">
        <v>1507</v>
      </c>
      <c r="C412" t="s">
        <v>1508</v>
      </c>
      <c r="D412" t="s">
        <v>15</v>
      </c>
      <c r="E412">
        <v>52</v>
      </c>
      <c r="F412" t="str">
        <f t="shared" si="12"/>
        <v>Senior</v>
      </c>
      <c r="G412" t="s">
        <v>1185</v>
      </c>
      <c r="H412" t="str">
        <f t="shared" si="13"/>
        <v>Nov</v>
      </c>
      <c r="I412" t="s">
        <v>17</v>
      </c>
      <c r="J412" t="s">
        <v>101</v>
      </c>
      <c r="K412" t="s">
        <v>1509</v>
      </c>
      <c r="L412" t="s">
        <v>62</v>
      </c>
      <c r="M412" t="s">
        <v>34</v>
      </c>
      <c r="N412">
        <v>1</v>
      </c>
      <c r="O412" t="s">
        <v>22</v>
      </c>
      <c r="P412">
        <v>3832.34</v>
      </c>
      <c r="Q412" t="s">
        <v>42</v>
      </c>
      <c r="R412" t="s">
        <v>43</v>
      </c>
      <c r="S412">
        <v>302001</v>
      </c>
      <c r="T412" t="s">
        <v>25</v>
      </c>
      <c r="U412" t="s">
        <v>26</v>
      </c>
    </row>
    <row r="413" spans="1:21" x14ac:dyDescent="0.3">
      <c r="A413">
        <v>412</v>
      </c>
      <c r="B413" t="s">
        <v>1510</v>
      </c>
      <c r="C413" t="s">
        <v>1511</v>
      </c>
      <c r="D413" t="s">
        <v>29</v>
      </c>
      <c r="E413">
        <v>29</v>
      </c>
      <c r="F413" t="str">
        <f t="shared" si="12"/>
        <v>Teenager</v>
      </c>
      <c r="G413" t="s">
        <v>1512</v>
      </c>
      <c r="H413" t="str">
        <f t="shared" si="13"/>
        <v>Jun</v>
      </c>
      <c r="I413" t="s">
        <v>70</v>
      </c>
      <c r="J413" t="s">
        <v>71</v>
      </c>
      <c r="K413" t="s">
        <v>1513</v>
      </c>
      <c r="L413" t="s">
        <v>73</v>
      </c>
      <c r="M413" t="s">
        <v>85</v>
      </c>
      <c r="N413">
        <v>1</v>
      </c>
      <c r="O413" t="s">
        <v>22</v>
      </c>
      <c r="P413">
        <v>2496.12</v>
      </c>
      <c r="Q413" t="s">
        <v>35</v>
      </c>
      <c r="R413" t="s">
        <v>36</v>
      </c>
      <c r="S413">
        <v>560001</v>
      </c>
      <c r="T413" t="s">
        <v>25</v>
      </c>
      <c r="U413" t="s">
        <v>44</v>
      </c>
    </row>
    <row r="414" spans="1:21" x14ac:dyDescent="0.3">
      <c r="A414">
        <v>413</v>
      </c>
      <c r="B414" t="s">
        <v>1514</v>
      </c>
      <c r="C414" t="s">
        <v>1515</v>
      </c>
      <c r="D414" t="s">
        <v>29</v>
      </c>
      <c r="E414">
        <v>49</v>
      </c>
      <c r="F414" t="str">
        <f t="shared" si="12"/>
        <v>Adult</v>
      </c>
      <c r="G414" t="s">
        <v>214</v>
      </c>
      <c r="H414" t="str">
        <f t="shared" si="13"/>
        <v>Jul</v>
      </c>
      <c r="I414" t="s">
        <v>17</v>
      </c>
      <c r="J414" t="s">
        <v>18</v>
      </c>
      <c r="K414" t="s">
        <v>1516</v>
      </c>
      <c r="L414" t="s">
        <v>73</v>
      </c>
      <c r="M414" t="s">
        <v>50</v>
      </c>
      <c r="N414">
        <v>3</v>
      </c>
      <c r="O414" t="s">
        <v>22</v>
      </c>
      <c r="P414">
        <v>4611.79</v>
      </c>
      <c r="Q414" t="s">
        <v>74</v>
      </c>
      <c r="R414" t="s">
        <v>75</v>
      </c>
      <c r="S414">
        <v>226001</v>
      </c>
      <c r="T414" t="s">
        <v>25</v>
      </c>
      <c r="U414" t="s">
        <v>44</v>
      </c>
    </row>
    <row r="415" spans="1:21" x14ac:dyDescent="0.3">
      <c r="A415">
        <v>414</v>
      </c>
      <c r="B415" t="s">
        <v>1517</v>
      </c>
      <c r="C415" t="s">
        <v>1518</v>
      </c>
      <c r="D415" t="s">
        <v>15</v>
      </c>
      <c r="E415">
        <v>55</v>
      </c>
      <c r="F415" t="str">
        <f t="shared" si="12"/>
        <v>Senior</v>
      </c>
      <c r="G415" t="s">
        <v>1519</v>
      </c>
      <c r="H415" t="str">
        <f t="shared" si="13"/>
        <v>Dec</v>
      </c>
      <c r="I415" t="s">
        <v>70</v>
      </c>
      <c r="J415" t="s">
        <v>79</v>
      </c>
      <c r="K415" t="s">
        <v>1520</v>
      </c>
      <c r="L415" t="s">
        <v>20</v>
      </c>
      <c r="M415" t="s">
        <v>34</v>
      </c>
      <c r="N415">
        <v>4</v>
      </c>
      <c r="O415" t="s">
        <v>22</v>
      </c>
      <c r="P415">
        <v>4386.4399999999996</v>
      </c>
      <c r="Q415" t="s">
        <v>35</v>
      </c>
      <c r="R415" t="s">
        <v>36</v>
      </c>
      <c r="S415">
        <v>560001</v>
      </c>
      <c r="T415" t="s">
        <v>25</v>
      </c>
      <c r="U415" t="s">
        <v>44</v>
      </c>
    </row>
    <row r="416" spans="1:21" x14ac:dyDescent="0.3">
      <c r="A416">
        <v>415</v>
      </c>
      <c r="B416" t="s">
        <v>1521</v>
      </c>
      <c r="C416" t="s">
        <v>1522</v>
      </c>
      <c r="D416" t="s">
        <v>15</v>
      </c>
      <c r="E416">
        <v>59</v>
      </c>
      <c r="F416" t="str">
        <f t="shared" si="12"/>
        <v>Senior</v>
      </c>
      <c r="G416" t="s">
        <v>553</v>
      </c>
      <c r="H416" t="str">
        <f t="shared" si="13"/>
        <v>Nov</v>
      </c>
      <c r="I416" t="s">
        <v>48</v>
      </c>
      <c r="J416" t="s">
        <v>18</v>
      </c>
      <c r="K416" t="s">
        <v>1523</v>
      </c>
      <c r="L416" t="s">
        <v>62</v>
      </c>
      <c r="M416" t="s">
        <v>34</v>
      </c>
      <c r="N416">
        <v>2</v>
      </c>
      <c r="O416" t="s">
        <v>22</v>
      </c>
      <c r="P416">
        <v>3232.34</v>
      </c>
      <c r="Q416" t="s">
        <v>42</v>
      </c>
      <c r="R416" t="s">
        <v>43</v>
      </c>
      <c r="S416">
        <v>302001</v>
      </c>
      <c r="T416" t="s">
        <v>25</v>
      </c>
      <c r="U416" t="s">
        <v>44</v>
      </c>
    </row>
    <row r="417" spans="1:21" x14ac:dyDescent="0.3">
      <c r="A417">
        <v>416</v>
      </c>
      <c r="B417" t="s">
        <v>1524</v>
      </c>
      <c r="C417" t="s">
        <v>1525</v>
      </c>
      <c r="D417" t="s">
        <v>29</v>
      </c>
      <c r="E417">
        <v>20</v>
      </c>
      <c r="F417" t="str">
        <f t="shared" si="12"/>
        <v>Teenager</v>
      </c>
      <c r="G417" t="s">
        <v>39</v>
      </c>
      <c r="H417" t="str">
        <f t="shared" si="13"/>
        <v>Dec</v>
      </c>
      <c r="I417" t="s">
        <v>17</v>
      </c>
      <c r="J417" t="s">
        <v>71</v>
      </c>
      <c r="K417" t="s">
        <v>1526</v>
      </c>
      <c r="L417" t="s">
        <v>33</v>
      </c>
      <c r="M417" t="s">
        <v>21</v>
      </c>
      <c r="N417">
        <v>3</v>
      </c>
      <c r="O417" t="s">
        <v>22</v>
      </c>
      <c r="P417">
        <v>3761.68</v>
      </c>
      <c r="Q417" t="s">
        <v>51</v>
      </c>
      <c r="R417" t="s">
        <v>51</v>
      </c>
      <c r="S417">
        <v>110001</v>
      </c>
      <c r="T417" t="s">
        <v>25</v>
      </c>
      <c r="U417" t="s">
        <v>26</v>
      </c>
    </row>
    <row r="418" spans="1:21" x14ac:dyDescent="0.3">
      <c r="A418">
        <v>417</v>
      </c>
      <c r="B418" t="s">
        <v>1527</v>
      </c>
      <c r="C418" t="s">
        <v>1528</v>
      </c>
      <c r="D418" t="s">
        <v>15</v>
      </c>
      <c r="E418">
        <v>40</v>
      </c>
      <c r="F418" t="str">
        <f t="shared" si="12"/>
        <v>Adult</v>
      </c>
      <c r="G418" t="s">
        <v>1283</v>
      </c>
      <c r="H418" t="str">
        <f t="shared" si="13"/>
        <v>Jan</v>
      </c>
      <c r="I418" t="s">
        <v>17</v>
      </c>
      <c r="J418" t="s">
        <v>31</v>
      </c>
      <c r="K418" t="s">
        <v>1529</v>
      </c>
      <c r="L418" t="s">
        <v>20</v>
      </c>
      <c r="M418" t="s">
        <v>50</v>
      </c>
      <c r="N418">
        <v>4</v>
      </c>
      <c r="O418" t="s">
        <v>22</v>
      </c>
      <c r="P418">
        <v>2960</v>
      </c>
      <c r="Q418" t="s">
        <v>51</v>
      </c>
      <c r="R418" t="s">
        <v>51</v>
      </c>
      <c r="S418">
        <v>110001</v>
      </c>
      <c r="T418" t="s">
        <v>25</v>
      </c>
      <c r="U418" t="s">
        <v>44</v>
      </c>
    </row>
    <row r="419" spans="1:21" x14ac:dyDescent="0.3">
      <c r="A419">
        <v>418</v>
      </c>
      <c r="B419" t="s">
        <v>1530</v>
      </c>
      <c r="C419" t="s">
        <v>1531</v>
      </c>
      <c r="D419" t="s">
        <v>29</v>
      </c>
      <c r="E419">
        <v>35</v>
      </c>
      <c r="F419" t="str">
        <f t="shared" si="12"/>
        <v>Adult</v>
      </c>
      <c r="G419" t="s">
        <v>1318</v>
      </c>
      <c r="H419" t="str">
        <f t="shared" si="13"/>
        <v>Nov</v>
      </c>
      <c r="I419" t="s">
        <v>17</v>
      </c>
      <c r="J419" t="s">
        <v>71</v>
      </c>
      <c r="K419" t="s">
        <v>1532</v>
      </c>
      <c r="L419" t="s">
        <v>20</v>
      </c>
      <c r="M419" t="s">
        <v>85</v>
      </c>
      <c r="N419">
        <v>2</v>
      </c>
      <c r="O419" t="s">
        <v>22</v>
      </c>
      <c r="P419">
        <v>3901.04</v>
      </c>
      <c r="Q419" t="s">
        <v>23</v>
      </c>
      <c r="R419" t="s">
        <v>24</v>
      </c>
      <c r="S419">
        <v>400001</v>
      </c>
      <c r="T419" t="s">
        <v>25</v>
      </c>
      <c r="U419" t="s">
        <v>44</v>
      </c>
    </row>
    <row r="420" spans="1:21" x14ac:dyDescent="0.3">
      <c r="A420">
        <v>419</v>
      </c>
      <c r="B420" t="s">
        <v>1533</v>
      </c>
      <c r="C420" t="s">
        <v>1534</v>
      </c>
      <c r="D420" t="s">
        <v>29</v>
      </c>
      <c r="E420">
        <v>53</v>
      </c>
      <c r="F420" t="str">
        <f t="shared" si="12"/>
        <v>Senior</v>
      </c>
      <c r="G420" t="s">
        <v>1535</v>
      </c>
      <c r="H420" t="str">
        <f t="shared" si="13"/>
        <v>Aug</v>
      </c>
      <c r="I420" t="s">
        <v>60</v>
      </c>
      <c r="J420" t="s">
        <v>79</v>
      </c>
      <c r="K420" t="s">
        <v>1536</v>
      </c>
      <c r="L420" t="s">
        <v>56</v>
      </c>
      <c r="M420" t="s">
        <v>34</v>
      </c>
      <c r="N420">
        <v>2</v>
      </c>
      <c r="O420" t="s">
        <v>22</v>
      </c>
      <c r="P420">
        <v>4876.29</v>
      </c>
      <c r="Q420" t="s">
        <v>51</v>
      </c>
      <c r="R420" t="s">
        <v>51</v>
      </c>
      <c r="S420">
        <v>110001</v>
      </c>
      <c r="T420" t="s">
        <v>25</v>
      </c>
      <c r="U420" t="s">
        <v>44</v>
      </c>
    </row>
    <row r="421" spans="1:21" x14ac:dyDescent="0.3">
      <c r="A421">
        <v>420</v>
      </c>
      <c r="B421" t="s">
        <v>1537</v>
      </c>
      <c r="C421" t="s">
        <v>1538</v>
      </c>
      <c r="D421" t="s">
        <v>15</v>
      </c>
      <c r="E421">
        <v>53</v>
      </c>
      <c r="F421" t="str">
        <f t="shared" si="12"/>
        <v>Senior</v>
      </c>
      <c r="G421" t="s">
        <v>65</v>
      </c>
      <c r="H421" t="str">
        <f t="shared" si="13"/>
        <v>Dec</v>
      </c>
      <c r="I421" t="s">
        <v>60</v>
      </c>
      <c r="J421" t="s">
        <v>79</v>
      </c>
      <c r="K421" t="s">
        <v>1539</v>
      </c>
      <c r="L421" t="s">
        <v>107</v>
      </c>
      <c r="M421" t="s">
        <v>85</v>
      </c>
      <c r="N421">
        <v>5</v>
      </c>
      <c r="O421" t="s">
        <v>22</v>
      </c>
      <c r="P421">
        <v>3222.01</v>
      </c>
      <c r="Q421" t="s">
        <v>35</v>
      </c>
      <c r="R421" t="s">
        <v>36</v>
      </c>
      <c r="S421">
        <v>560001</v>
      </c>
      <c r="T421" t="s">
        <v>25</v>
      </c>
      <c r="U421" t="s">
        <v>44</v>
      </c>
    </row>
    <row r="422" spans="1:21" x14ac:dyDescent="0.3">
      <c r="A422">
        <v>421</v>
      </c>
      <c r="B422" t="s">
        <v>1540</v>
      </c>
      <c r="C422" t="s">
        <v>1541</v>
      </c>
      <c r="D422" t="s">
        <v>15</v>
      </c>
      <c r="E422">
        <v>55</v>
      </c>
      <c r="F422" t="str">
        <f t="shared" si="12"/>
        <v>Senior</v>
      </c>
      <c r="G422" t="s">
        <v>1012</v>
      </c>
      <c r="H422" t="str">
        <f t="shared" si="13"/>
        <v>Oct</v>
      </c>
      <c r="I422" t="s">
        <v>70</v>
      </c>
      <c r="J422" t="s">
        <v>101</v>
      </c>
      <c r="K422" t="s">
        <v>1542</v>
      </c>
      <c r="L422" t="s">
        <v>73</v>
      </c>
      <c r="M422" t="s">
        <v>21</v>
      </c>
      <c r="N422">
        <v>2</v>
      </c>
      <c r="O422" t="s">
        <v>22</v>
      </c>
      <c r="P422">
        <v>3867.91</v>
      </c>
      <c r="Q422" t="s">
        <v>51</v>
      </c>
      <c r="R422" t="s">
        <v>51</v>
      </c>
      <c r="S422">
        <v>110001</v>
      </c>
      <c r="T422" t="s">
        <v>25</v>
      </c>
      <c r="U422" t="s">
        <v>26</v>
      </c>
    </row>
    <row r="423" spans="1:21" x14ac:dyDescent="0.3">
      <c r="A423">
        <v>422</v>
      </c>
      <c r="B423" t="s">
        <v>1543</v>
      </c>
      <c r="C423" t="s">
        <v>1544</v>
      </c>
      <c r="D423" t="s">
        <v>29</v>
      </c>
      <c r="E423">
        <v>41</v>
      </c>
      <c r="F423" t="str">
        <f t="shared" si="12"/>
        <v>Adult</v>
      </c>
      <c r="G423" t="s">
        <v>711</v>
      </c>
      <c r="H423" t="str">
        <f t="shared" si="13"/>
        <v>Sep</v>
      </c>
      <c r="I423" t="s">
        <v>70</v>
      </c>
      <c r="J423" t="s">
        <v>40</v>
      </c>
      <c r="K423" t="s">
        <v>1545</v>
      </c>
      <c r="L423" t="s">
        <v>33</v>
      </c>
      <c r="M423" t="s">
        <v>85</v>
      </c>
      <c r="N423">
        <v>4</v>
      </c>
      <c r="O423" t="s">
        <v>22</v>
      </c>
      <c r="P423">
        <v>1481.26</v>
      </c>
      <c r="Q423" t="s">
        <v>51</v>
      </c>
      <c r="R423" t="s">
        <v>51</v>
      </c>
      <c r="S423">
        <v>110001</v>
      </c>
      <c r="T423" t="s">
        <v>25</v>
      </c>
      <c r="U423" t="s">
        <v>44</v>
      </c>
    </row>
    <row r="424" spans="1:21" x14ac:dyDescent="0.3">
      <c r="A424">
        <v>423</v>
      </c>
      <c r="B424" t="s">
        <v>1546</v>
      </c>
      <c r="C424" t="s">
        <v>1547</v>
      </c>
      <c r="D424" t="s">
        <v>15</v>
      </c>
      <c r="E424">
        <v>38</v>
      </c>
      <c r="F424" t="str">
        <f t="shared" si="12"/>
        <v>Adult</v>
      </c>
      <c r="G424" t="s">
        <v>1548</v>
      </c>
      <c r="H424" t="str">
        <f t="shared" si="13"/>
        <v>Sep</v>
      </c>
      <c r="I424" t="s">
        <v>17</v>
      </c>
      <c r="J424" t="s">
        <v>40</v>
      </c>
      <c r="K424" t="s">
        <v>1549</v>
      </c>
      <c r="L424" t="s">
        <v>56</v>
      </c>
      <c r="M424" t="s">
        <v>50</v>
      </c>
      <c r="N424">
        <v>5</v>
      </c>
      <c r="O424" t="s">
        <v>22</v>
      </c>
      <c r="P424">
        <v>1601.36</v>
      </c>
      <c r="Q424" t="s">
        <v>23</v>
      </c>
      <c r="R424" t="s">
        <v>24</v>
      </c>
      <c r="S424">
        <v>400001</v>
      </c>
      <c r="T424" t="s">
        <v>25</v>
      </c>
      <c r="U424" t="s">
        <v>44</v>
      </c>
    </row>
    <row r="425" spans="1:21" x14ac:dyDescent="0.3">
      <c r="A425">
        <v>424</v>
      </c>
      <c r="B425" t="s">
        <v>1550</v>
      </c>
      <c r="C425" t="s">
        <v>1551</v>
      </c>
      <c r="D425" t="s">
        <v>15</v>
      </c>
      <c r="E425">
        <v>29</v>
      </c>
      <c r="F425" t="str">
        <f t="shared" si="12"/>
        <v>Teenager</v>
      </c>
      <c r="G425" t="s">
        <v>798</v>
      </c>
      <c r="H425" t="str">
        <f t="shared" si="13"/>
        <v>Jan</v>
      </c>
      <c r="I425" t="s">
        <v>17</v>
      </c>
      <c r="J425" t="s">
        <v>31</v>
      </c>
      <c r="K425" t="s">
        <v>1552</v>
      </c>
      <c r="L425" t="s">
        <v>56</v>
      </c>
      <c r="M425" t="s">
        <v>85</v>
      </c>
      <c r="N425">
        <v>3</v>
      </c>
      <c r="O425" t="s">
        <v>22</v>
      </c>
      <c r="P425">
        <v>2447.58</v>
      </c>
      <c r="Q425" t="s">
        <v>23</v>
      </c>
      <c r="R425" t="s">
        <v>24</v>
      </c>
      <c r="S425">
        <v>400001</v>
      </c>
      <c r="T425" t="s">
        <v>25</v>
      </c>
      <c r="U425" t="s">
        <v>26</v>
      </c>
    </row>
    <row r="426" spans="1:21" x14ac:dyDescent="0.3">
      <c r="A426">
        <v>425</v>
      </c>
      <c r="B426" t="s">
        <v>1553</v>
      </c>
      <c r="C426" t="s">
        <v>1554</v>
      </c>
      <c r="D426" t="s">
        <v>15</v>
      </c>
      <c r="E426">
        <v>27</v>
      </c>
      <c r="F426" t="str">
        <f t="shared" si="12"/>
        <v>Teenager</v>
      </c>
      <c r="G426" t="s">
        <v>1555</v>
      </c>
      <c r="H426" t="str">
        <f t="shared" si="13"/>
        <v>Sep</v>
      </c>
      <c r="I426" t="s">
        <v>48</v>
      </c>
      <c r="J426" t="s">
        <v>71</v>
      </c>
      <c r="K426" t="s">
        <v>1556</v>
      </c>
      <c r="L426" t="s">
        <v>73</v>
      </c>
      <c r="M426" t="s">
        <v>21</v>
      </c>
      <c r="N426">
        <v>5</v>
      </c>
      <c r="O426" t="s">
        <v>22</v>
      </c>
      <c r="P426">
        <v>4315.75</v>
      </c>
      <c r="Q426" t="s">
        <v>51</v>
      </c>
      <c r="R426" t="s">
        <v>51</v>
      </c>
      <c r="S426">
        <v>110001</v>
      </c>
      <c r="T426" t="s">
        <v>25</v>
      </c>
      <c r="U426" t="s">
        <v>26</v>
      </c>
    </row>
    <row r="427" spans="1:21" x14ac:dyDescent="0.3">
      <c r="A427">
        <v>426</v>
      </c>
      <c r="B427" t="s">
        <v>1557</v>
      </c>
      <c r="C427" t="s">
        <v>1558</v>
      </c>
      <c r="D427" t="s">
        <v>15</v>
      </c>
      <c r="E427">
        <v>60</v>
      </c>
      <c r="F427" t="str">
        <f t="shared" si="12"/>
        <v>Senior</v>
      </c>
      <c r="G427" t="s">
        <v>643</v>
      </c>
      <c r="H427" t="str">
        <f t="shared" si="13"/>
        <v>Aug</v>
      </c>
      <c r="I427" t="s">
        <v>17</v>
      </c>
      <c r="J427" t="s">
        <v>31</v>
      </c>
      <c r="K427" t="s">
        <v>1559</v>
      </c>
      <c r="L427" t="s">
        <v>107</v>
      </c>
      <c r="M427" t="s">
        <v>85</v>
      </c>
      <c r="N427">
        <v>4</v>
      </c>
      <c r="O427" t="s">
        <v>22</v>
      </c>
      <c r="P427">
        <v>625</v>
      </c>
      <c r="Q427" t="s">
        <v>23</v>
      </c>
      <c r="R427" t="s">
        <v>24</v>
      </c>
      <c r="S427">
        <v>400001</v>
      </c>
      <c r="T427" t="s">
        <v>25</v>
      </c>
      <c r="U427" t="s">
        <v>26</v>
      </c>
    </row>
    <row r="428" spans="1:21" x14ac:dyDescent="0.3">
      <c r="A428">
        <v>427</v>
      </c>
      <c r="B428" t="s">
        <v>1560</v>
      </c>
      <c r="C428" t="s">
        <v>1561</v>
      </c>
      <c r="D428" t="s">
        <v>15</v>
      </c>
      <c r="E428">
        <v>24</v>
      </c>
      <c r="F428" t="str">
        <f t="shared" si="12"/>
        <v>Teenager</v>
      </c>
      <c r="G428" t="s">
        <v>791</v>
      </c>
      <c r="H428" t="str">
        <f t="shared" si="13"/>
        <v>Apr</v>
      </c>
      <c r="I428" t="s">
        <v>70</v>
      </c>
      <c r="J428" t="s">
        <v>101</v>
      </c>
      <c r="K428" t="s">
        <v>1562</v>
      </c>
      <c r="L428" t="s">
        <v>20</v>
      </c>
      <c r="M428" t="s">
        <v>34</v>
      </c>
      <c r="N428">
        <v>2</v>
      </c>
      <c r="O428" t="s">
        <v>22</v>
      </c>
      <c r="P428">
        <v>2220.34</v>
      </c>
      <c r="Q428" t="s">
        <v>42</v>
      </c>
      <c r="R428" t="s">
        <v>43</v>
      </c>
      <c r="S428">
        <v>302001</v>
      </c>
      <c r="T428" t="s">
        <v>25</v>
      </c>
      <c r="U428" t="s">
        <v>26</v>
      </c>
    </row>
    <row r="429" spans="1:21" x14ac:dyDescent="0.3">
      <c r="A429">
        <v>428</v>
      </c>
      <c r="B429" t="s">
        <v>1563</v>
      </c>
      <c r="C429" t="s">
        <v>1564</v>
      </c>
      <c r="D429" t="s">
        <v>15</v>
      </c>
      <c r="E429">
        <v>35</v>
      </c>
      <c r="F429" t="str">
        <f t="shared" si="12"/>
        <v>Adult</v>
      </c>
      <c r="G429" t="s">
        <v>1565</v>
      </c>
      <c r="H429" t="str">
        <f t="shared" si="13"/>
        <v>May</v>
      </c>
      <c r="I429" t="s">
        <v>17</v>
      </c>
      <c r="J429" t="s">
        <v>18</v>
      </c>
      <c r="K429" t="s">
        <v>1566</v>
      </c>
      <c r="L429" t="s">
        <v>62</v>
      </c>
      <c r="M429" t="s">
        <v>21</v>
      </c>
      <c r="N429">
        <v>4</v>
      </c>
      <c r="O429" t="s">
        <v>22</v>
      </c>
      <c r="P429">
        <v>495.75</v>
      </c>
      <c r="Q429" t="s">
        <v>51</v>
      </c>
      <c r="R429" t="s">
        <v>51</v>
      </c>
      <c r="S429">
        <v>110001</v>
      </c>
      <c r="T429" t="s">
        <v>25</v>
      </c>
      <c r="U429" t="s">
        <v>26</v>
      </c>
    </row>
    <row r="430" spans="1:21" x14ac:dyDescent="0.3">
      <c r="A430">
        <v>429</v>
      </c>
      <c r="B430" t="s">
        <v>1567</v>
      </c>
      <c r="C430" t="s">
        <v>1568</v>
      </c>
      <c r="D430" t="s">
        <v>15</v>
      </c>
      <c r="E430">
        <v>23</v>
      </c>
      <c r="F430" t="str">
        <f t="shared" si="12"/>
        <v>Teenager</v>
      </c>
      <c r="G430" t="s">
        <v>1569</v>
      </c>
      <c r="H430" t="str">
        <f t="shared" si="13"/>
        <v>Mar</v>
      </c>
      <c r="I430" t="s">
        <v>48</v>
      </c>
      <c r="J430" t="s">
        <v>40</v>
      </c>
      <c r="K430" t="s">
        <v>1570</v>
      </c>
      <c r="L430" t="s">
        <v>20</v>
      </c>
      <c r="M430" t="s">
        <v>50</v>
      </c>
      <c r="N430">
        <v>3</v>
      </c>
      <c r="O430" t="s">
        <v>22</v>
      </c>
      <c r="P430">
        <v>4330.3999999999996</v>
      </c>
      <c r="Q430" t="s">
        <v>23</v>
      </c>
      <c r="R430" t="s">
        <v>24</v>
      </c>
      <c r="S430">
        <v>400001</v>
      </c>
      <c r="T430" t="s">
        <v>25</v>
      </c>
      <c r="U430" t="s">
        <v>44</v>
      </c>
    </row>
    <row r="431" spans="1:21" x14ac:dyDescent="0.3">
      <c r="A431">
        <v>430</v>
      </c>
      <c r="B431" t="s">
        <v>1571</v>
      </c>
      <c r="C431" t="s">
        <v>1572</v>
      </c>
      <c r="D431" t="s">
        <v>15</v>
      </c>
      <c r="E431">
        <v>20</v>
      </c>
      <c r="F431" t="str">
        <f t="shared" si="12"/>
        <v>Teenager</v>
      </c>
      <c r="G431" t="s">
        <v>539</v>
      </c>
      <c r="H431" t="str">
        <f t="shared" si="13"/>
        <v>May</v>
      </c>
      <c r="I431" t="s">
        <v>48</v>
      </c>
      <c r="J431" t="s">
        <v>31</v>
      </c>
      <c r="K431" t="s">
        <v>1573</v>
      </c>
      <c r="L431" t="s">
        <v>73</v>
      </c>
      <c r="M431" t="s">
        <v>34</v>
      </c>
      <c r="N431">
        <v>5</v>
      </c>
      <c r="O431" t="s">
        <v>22</v>
      </c>
      <c r="P431">
        <v>1640.55</v>
      </c>
      <c r="Q431" t="s">
        <v>35</v>
      </c>
      <c r="R431" t="s">
        <v>36</v>
      </c>
      <c r="S431">
        <v>560001</v>
      </c>
      <c r="T431" t="s">
        <v>25</v>
      </c>
      <c r="U431" t="s">
        <v>26</v>
      </c>
    </row>
    <row r="432" spans="1:21" x14ac:dyDescent="0.3">
      <c r="A432">
        <v>431</v>
      </c>
      <c r="B432" t="s">
        <v>1574</v>
      </c>
      <c r="C432" t="s">
        <v>1575</v>
      </c>
      <c r="D432" t="s">
        <v>15</v>
      </c>
      <c r="E432">
        <v>27</v>
      </c>
      <c r="F432" t="str">
        <f t="shared" si="12"/>
        <v>Teenager</v>
      </c>
      <c r="G432" t="s">
        <v>1576</v>
      </c>
      <c r="H432" t="str">
        <f t="shared" si="13"/>
        <v>Jul</v>
      </c>
      <c r="I432" t="s">
        <v>60</v>
      </c>
      <c r="J432" t="s">
        <v>40</v>
      </c>
      <c r="K432" t="s">
        <v>1577</v>
      </c>
      <c r="L432" t="s">
        <v>107</v>
      </c>
      <c r="M432" t="s">
        <v>85</v>
      </c>
      <c r="N432">
        <v>3</v>
      </c>
      <c r="O432" t="s">
        <v>22</v>
      </c>
      <c r="P432">
        <v>2037.35</v>
      </c>
      <c r="Q432" t="s">
        <v>23</v>
      </c>
      <c r="R432" t="s">
        <v>24</v>
      </c>
      <c r="S432">
        <v>400001</v>
      </c>
      <c r="T432" t="s">
        <v>25</v>
      </c>
      <c r="U432" t="s">
        <v>44</v>
      </c>
    </row>
    <row r="433" spans="1:21" x14ac:dyDescent="0.3">
      <c r="A433">
        <v>432</v>
      </c>
      <c r="B433" t="s">
        <v>1578</v>
      </c>
      <c r="C433" t="s">
        <v>1579</v>
      </c>
      <c r="D433" t="s">
        <v>15</v>
      </c>
      <c r="E433">
        <v>29</v>
      </c>
      <c r="F433" t="str">
        <f t="shared" si="12"/>
        <v>Teenager</v>
      </c>
      <c r="G433" t="s">
        <v>1580</v>
      </c>
      <c r="H433" t="str">
        <f t="shared" si="13"/>
        <v>Dec</v>
      </c>
      <c r="I433" t="s">
        <v>48</v>
      </c>
      <c r="J433" t="s">
        <v>40</v>
      </c>
      <c r="K433" t="s">
        <v>1581</v>
      </c>
      <c r="L433" t="s">
        <v>33</v>
      </c>
      <c r="M433" t="s">
        <v>34</v>
      </c>
      <c r="N433">
        <v>3</v>
      </c>
      <c r="O433" t="s">
        <v>22</v>
      </c>
      <c r="P433">
        <v>1546.38</v>
      </c>
      <c r="Q433" t="s">
        <v>51</v>
      </c>
      <c r="R433" t="s">
        <v>51</v>
      </c>
      <c r="S433">
        <v>110001</v>
      </c>
      <c r="T433" t="s">
        <v>25</v>
      </c>
      <c r="U433" t="s">
        <v>26</v>
      </c>
    </row>
    <row r="434" spans="1:21" x14ac:dyDescent="0.3">
      <c r="A434">
        <v>433</v>
      </c>
      <c r="B434" t="s">
        <v>1582</v>
      </c>
      <c r="C434" t="s">
        <v>1583</v>
      </c>
      <c r="D434" t="s">
        <v>15</v>
      </c>
      <c r="E434">
        <v>28</v>
      </c>
      <c r="F434" t="str">
        <f t="shared" si="12"/>
        <v>Teenager</v>
      </c>
      <c r="G434" t="s">
        <v>1398</v>
      </c>
      <c r="H434" t="str">
        <f t="shared" si="13"/>
        <v>Oct</v>
      </c>
      <c r="I434" t="s">
        <v>17</v>
      </c>
      <c r="J434" t="s">
        <v>18</v>
      </c>
      <c r="K434" t="s">
        <v>1584</v>
      </c>
      <c r="L434" t="s">
        <v>62</v>
      </c>
      <c r="M434" t="s">
        <v>50</v>
      </c>
      <c r="N434">
        <v>5</v>
      </c>
      <c r="O434" t="s">
        <v>22</v>
      </c>
      <c r="P434">
        <v>2328.9899999999998</v>
      </c>
      <c r="Q434" t="s">
        <v>23</v>
      </c>
      <c r="R434" t="s">
        <v>24</v>
      </c>
      <c r="S434">
        <v>400001</v>
      </c>
      <c r="T434" t="s">
        <v>25</v>
      </c>
      <c r="U434" t="s">
        <v>26</v>
      </c>
    </row>
    <row r="435" spans="1:21" x14ac:dyDescent="0.3">
      <c r="A435">
        <v>434</v>
      </c>
      <c r="B435" t="s">
        <v>1585</v>
      </c>
      <c r="C435" t="s">
        <v>1586</v>
      </c>
      <c r="D435" t="s">
        <v>15</v>
      </c>
      <c r="E435">
        <v>48</v>
      </c>
      <c r="F435" t="str">
        <f t="shared" si="12"/>
        <v>Adult</v>
      </c>
      <c r="G435" t="s">
        <v>155</v>
      </c>
      <c r="H435" t="str">
        <f t="shared" si="13"/>
        <v>Aug</v>
      </c>
      <c r="I435" t="s">
        <v>60</v>
      </c>
      <c r="J435" t="s">
        <v>101</v>
      </c>
      <c r="K435" t="s">
        <v>1587</v>
      </c>
      <c r="L435" t="s">
        <v>62</v>
      </c>
      <c r="M435" t="s">
        <v>34</v>
      </c>
      <c r="N435">
        <v>4</v>
      </c>
      <c r="O435" t="s">
        <v>22</v>
      </c>
      <c r="P435">
        <v>2795.06</v>
      </c>
      <c r="Q435" t="s">
        <v>35</v>
      </c>
      <c r="R435" t="s">
        <v>36</v>
      </c>
      <c r="S435">
        <v>560001</v>
      </c>
      <c r="T435" t="s">
        <v>25</v>
      </c>
      <c r="U435" t="s">
        <v>26</v>
      </c>
    </row>
    <row r="436" spans="1:21" x14ac:dyDescent="0.3">
      <c r="A436">
        <v>435</v>
      </c>
      <c r="B436" t="s">
        <v>1588</v>
      </c>
      <c r="C436" t="s">
        <v>1589</v>
      </c>
      <c r="D436" t="s">
        <v>15</v>
      </c>
      <c r="E436">
        <v>43</v>
      </c>
      <c r="F436" t="str">
        <f t="shared" si="12"/>
        <v>Adult</v>
      </c>
      <c r="G436" t="s">
        <v>1091</v>
      </c>
      <c r="H436" t="str">
        <f t="shared" si="13"/>
        <v>Aug</v>
      </c>
      <c r="I436" t="s">
        <v>60</v>
      </c>
      <c r="J436" t="s">
        <v>101</v>
      </c>
      <c r="K436" t="s">
        <v>1590</v>
      </c>
      <c r="L436" t="s">
        <v>20</v>
      </c>
      <c r="M436" t="s">
        <v>85</v>
      </c>
      <c r="N436">
        <v>2</v>
      </c>
      <c r="O436" t="s">
        <v>22</v>
      </c>
      <c r="P436">
        <v>3815.77</v>
      </c>
      <c r="Q436" t="s">
        <v>35</v>
      </c>
      <c r="R436" t="s">
        <v>36</v>
      </c>
      <c r="S436">
        <v>560001</v>
      </c>
      <c r="T436" t="s">
        <v>25</v>
      </c>
      <c r="U436" t="s">
        <v>44</v>
      </c>
    </row>
    <row r="437" spans="1:21" x14ac:dyDescent="0.3">
      <c r="A437">
        <v>436</v>
      </c>
      <c r="B437" t="s">
        <v>1591</v>
      </c>
      <c r="C437" t="s">
        <v>1592</v>
      </c>
      <c r="D437" t="s">
        <v>15</v>
      </c>
      <c r="E437">
        <v>41</v>
      </c>
      <c r="F437" t="str">
        <f t="shared" si="12"/>
        <v>Adult</v>
      </c>
      <c r="G437" t="s">
        <v>1593</v>
      </c>
      <c r="H437" t="str">
        <f t="shared" si="13"/>
        <v>May</v>
      </c>
      <c r="I437" t="s">
        <v>17</v>
      </c>
      <c r="J437" t="s">
        <v>79</v>
      </c>
      <c r="K437" t="s">
        <v>1594</v>
      </c>
      <c r="L437" t="s">
        <v>62</v>
      </c>
      <c r="M437" t="s">
        <v>21</v>
      </c>
      <c r="N437">
        <v>1</v>
      </c>
      <c r="O437" t="s">
        <v>22</v>
      </c>
      <c r="P437">
        <v>4783.4399999999996</v>
      </c>
      <c r="Q437" t="s">
        <v>74</v>
      </c>
      <c r="R437" t="s">
        <v>75</v>
      </c>
      <c r="S437">
        <v>226001</v>
      </c>
      <c r="T437" t="s">
        <v>25</v>
      </c>
      <c r="U437" t="s">
        <v>26</v>
      </c>
    </row>
    <row r="438" spans="1:21" x14ac:dyDescent="0.3">
      <c r="A438">
        <v>437</v>
      </c>
      <c r="B438" t="s">
        <v>1595</v>
      </c>
      <c r="C438" t="s">
        <v>1596</v>
      </c>
      <c r="D438" t="s">
        <v>15</v>
      </c>
      <c r="E438">
        <v>31</v>
      </c>
      <c r="F438" t="str">
        <f t="shared" si="12"/>
        <v>Adult</v>
      </c>
      <c r="G438" t="s">
        <v>643</v>
      </c>
      <c r="H438" t="str">
        <f t="shared" si="13"/>
        <v>Aug</v>
      </c>
      <c r="I438" t="s">
        <v>60</v>
      </c>
      <c r="J438" t="s">
        <v>40</v>
      </c>
      <c r="K438" t="s">
        <v>1597</v>
      </c>
      <c r="L438" t="s">
        <v>33</v>
      </c>
      <c r="M438" t="s">
        <v>85</v>
      </c>
      <c r="N438">
        <v>3</v>
      </c>
      <c r="O438" t="s">
        <v>22</v>
      </c>
      <c r="P438">
        <v>3405.05</v>
      </c>
      <c r="Q438" t="s">
        <v>23</v>
      </c>
      <c r="R438" t="s">
        <v>24</v>
      </c>
      <c r="S438">
        <v>400001</v>
      </c>
      <c r="T438" t="s">
        <v>25</v>
      </c>
      <c r="U438" t="s">
        <v>44</v>
      </c>
    </row>
    <row r="439" spans="1:21" x14ac:dyDescent="0.3">
      <c r="A439">
        <v>438</v>
      </c>
      <c r="B439" t="s">
        <v>1598</v>
      </c>
      <c r="C439" t="s">
        <v>1404</v>
      </c>
      <c r="D439" t="s">
        <v>29</v>
      </c>
      <c r="E439">
        <v>41</v>
      </c>
      <c r="F439" t="str">
        <f t="shared" si="12"/>
        <v>Adult</v>
      </c>
      <c r="G439" t="s">
        <v>1519</v>
      </c>
      <c r="H439" t="str">
        <f t="shared" si="13"/>
        <v>Dec</v>
      </c>
      <c r="I439" t="s">
        <v>60</v>
      </c>
      <c r="J439" t="s">
        <v>101</v>
      </c>
      <c r="K439" t="s">
        <v>1599</v>
      </c>
      <c r="L439" t="s">
        <v>107</v>
      </c>
      <c r="M439" t="s">
        <v>50</v>
      </c>
      <c r="N439">
        <v>1</v>
      </c>
      <c r="O439" t="s">
        <v>22</v>
      </c>
      <c r="P439">
        <v>3425.46</v>
      </c>
      <c r="Q439" t="s">
        <v>23</v>
      </c>
      <c r="R439" t="s">
        <v>24</v>
      </c>
      <c r="S439">
        <v>400001</v>
      </c>
      <c r="T439" t="s">
        <v>25</v>
      </c>
      <c r="U439" t="s">
        <v>26</v>
      </c>
    </row>
    <row r="440" spans="1:21" x14ac:dyDescent="0.3">
      <c r="A440">
        <v>439</v>
      </c>
      <c r="B440" t="s">
        <v>1600</v>
      </c>
      <c r="C440" t="s">
        <v>1601</v>
      </c>
      <c r="D440" t="s">
        <v>15</v>
      </c>
      <c r="E440">
        <v>41</v>
      </c>
      <c r="F440" t="str">
        <f t="shared" si="12"/>
        <v>Adult</v>
      </c>
      <c r="G440" t="s">
        <v>1398</v>
      </c>
      <c r="H440" t="str">
        <f t="shared" si="13"/>
        <v>Oct</v>
      </c>
      <c r="I440" t="s">
        <v>48</v>
      </c>
      <c r="J440" t="s">
        <v>101</v>
      </c>
      <c r="K440" t="s">
        <v>1602</v>
      </c>
      <c r="L440" t="s">
        <v>20</v>
      </c>
      <c r="M440" t="s">
        <v>50</v>
      </c>
      <c r="N440">
        <v>3</v>
      </c>
      <c r="O440" t="s">
        <v>22</v>
      </c>
      <c r="P440">
        <v>2878.2</v>
      </c>
      <c r="Q440" t="s">
        <v>35</v>
      </c>
      <c r="R440" t="s">
        <v>36</v>
      </c>
      <c r="S440">
        <v>560001</v>
      </c>
      <c r="T440" t="s">
        <v>25</v>
      </c>
      <c r="U440" t="s">
        <v>44</v>
      </c>
    </row>
    <row r="441" spans="1:21" x14ac:dyDescent="0.3">
      <c r="A441">
        <v>440</v>
      </c>
      <c r="B441" t="s">
        <v>1603</v>
      </c>
      <c r="C441" t="s">
        <v>1604</v>
      </c>
      <c r="D441" t="s">
        <v>15</v>
      </c>
      <c r="E441">
        <v>26</v>
      </c>
      <c r="F441" t="str">
        <f t="shared" si="12"/>
        <v>Teenager</v>
      </c>
      <c r="G441" t="s">
        <v>1605</v>
      </c>
      <c r="H441" t="str">
        <f t="shared" si="13"/>
        <v>Apr</v>
      </c>
      <c r="I441" t="s">
        <v>70</v>
      </c>
      <c r="J441" t="s">
        <v>40</v>
      </c>
      <c r="K441" t="s">
        <v>1606</v>
      </c>
      <c r="L441" t="s">
        <v>73</v>
      </c>
      <c r="M441" t="s">
        <v>50</v>
      </c>
      <c r="N441">
        <v>2</v>
      </c>
      <c r="O441" t="s">
        <v>22</v>
      </c>
      <c r="P441">
        <v>372</v>
      </c>
      <c r="Q441" t="s">
        <v>42</v>
      </c>
      <c r="R441" t="s">
        <v>43</v>
      </c>
      <c r="S441">
        <v>302001</v>
      </c>
      <c r="T441" t="s">
        <v>25</v>
      </c>
      <c r="U441" t="s">
        <v>26</v>
      </c>
    </row>
    <row r="442" spans="1:21" x14ac:dyDescent="0.3">
      <c r="A442">
        <v>441</v>
      </c>
      <c r="B442" t="s">
        <v>1607</v>
      </c>
      <c r="C442" t="s">
        <v>1608</v>
      </c>
      <c r="D442" t="s">
        <v>15</v>
      </c>
      <c r="E442">
        <v>49</v>
      </c>
      <c r="F442" t="str">
        <f t="shared" si="12"/>
        <v>Adult</v>
      </c>
      <c r="G442" t="s">
        <v>1340</v>
      </c>
      <c r="H442" t="str">
        <f t="shared" si="13"/>
        <v>Dec</v>
      </c>
      <c r="I442" t="s">
        <v>17</v>
      </c>
      <c r="J442" t="s">
        <v>71</v>
      </c>
      <c r="K442" t="s">
        <v>1609</v>
      </c>
      <c r="L442" t="s">
        <v>33</v>
      </c>
      <c r="M442" t="s">
        <v>34</v>
      </c>
      <c r="N442">
        <v>5</v>
      </c>
      <c r="O442" t="s">
        <v>22</v>
      </c>
      <c r="P442">
        <v>1140.79</v>
      </c>
      <c r="Q442" t="s">
        <v>23</v>
      </c>
      <c r="R442" t="s">
        <v>24</v>
      </c>
      <c r="S442">
        <v>400001</v>
      </c>
      <c r="T442" t="s">
        <v>25</v>
      </c>
      <c r="U442" t="s">
        <v>44</v>
      </c>
    </row>
    <row r="443" spans="1:21" x14ac:dyDescent="0.3">
      <c r="A443">
        <v>442</v>
      </c>
      <c r="B443" t="s">
        <v>1610</v>
      </c>
      <c r="C443" t="s">
        <v>1611</v>
      </c>
      <c r="D443" t="s">
        <v>29</v>
      </c>
      <c r="E443">
        <v>24</v>
      </c>
      <c r="F443" t="str">
        <f t="shared" si="12"/>
        <v>Teenager</v>
      </c>
      <c r="G443" t="s">
        <v>1612</v>
      </c>
      <c r="H443" t="str">
        <f t="shared" si="13"/>
        <v>Jan</v>
      </c>
      <c r="I443" t="s">
        <v>60</v>
      </c>
      <c r="J443" t="s">
        <v>18</v>
      </c>
      <c r="K443" t="s">
        <v>1613</v>
      </c>
      <c r="L443" t="s">
        <v>33</v>
      </c>
      <c r="M443" t="s">
        <v>85</v>
      </c>
      <c r="N443">
        <v>2</v>
      </c>
      <c r="O443" t="s">
        <v>22</v>
      </c>
      <c r="P443">
        <v>4937.57</v>
      </c>
      <c r="Q443" t="s">
        <v>74</v>
      </c>
      <c r="R443" t="s">
        <v>75</v>
      </c>
      <c r="S443">
        <v>226001</v>
      </c>
      <c r="T443" t="s">
        <v>25</v>
      </c>
      <c r="U443" t="s">
        <v>26</v>
      </c>
    </row>
    <row r="444" spans="1:21" x14ac:dyDescent="0.3">
      <c r="A444">
        <v>443</v>
      </c>
      <c r="B444" t="s">
        <v>1614</v>
      </c>
      <c r="C444" t="s">
        <v>1615</v>
      </c>
      <c r="D444" t="s">
        <v>29</v>
      </c>
      <c r="E444">
        <v>59</v>
      </c>
      <c r="F444" t="str">
        <f t="shared" si="12"/>
        <v>Senior</v>
      </c>
      <c r="G444" t="s">
        <v>1332</v>
      </c>
      <c r="H444" t="str">
        <f t="shared" si="13"/>
        <v>Apr</v>
      </c>
      <c r="I444" t="s">
        <v>60</v>
      </c>
      <c r="J444" t="s">
        <v>101</v>
      </c>
      <c r="K444" t="s">
        <v>1616</v>
      </c>
      <c r="L444" t="s">
        <v>73</v>
      </c>
      <c r="M444" t="s">
        <v>21</v>
      </c>
      <c r="N444">
        <v>5</v>
      </c>
      <c r="O444" t="s">
        <v>22</v>
      </c>
      <c r="P444">
        <v>1038.3399999999999</v>
      </c>
      <c r="Q444" t="s">
        <v>42</v>
      </c>
      <c r="R444" t="s">
        <v>43</v>
      </c>
      <c r="S444">
        <v>302001</v>
      </c>
      <c r="T444" t="s">
        <v>25</v>
      </c>
      <c r="U444" t="s">
        <v>44</v>
      </c>
    </row>
    <row r="445" spans="1:21" x14ac:dyDescent="0.3">
      <c r="A445">
        <v>444</v>
      </c>
      <c r="B445" t="s">
        <v>1617</v>
      </c>
      <c r="C445" t="s">
        <v>1618</v>
      </c>
      <c r="D445" t="s">
        <v>15</v>
      </c>
      <c r="E445">
        <v>42</v>
      </c>
      <c r="F445" t="str">
        <f t="shared" si="12"/>
        <v>Adult</v>
      </c>
      <c r="G445" t="s">
        <v>920</v>
      </c>
      <c r="H445" t="str">
        <f t="shared" si="13"/>
        <v>Feb</v>
      </c>
      <c r="I445" t="s">
        <v>17</v>
      </c>
      <c r="J445" t="s">
        <v>31</v>
      </c>
      <c r="K445" t="s">
        <v>1619</v>
      </c>
      <c r="L445" t="s">
        <v>107</v>
      </c>
      <c r="M445" t="s">
        <v>34</v>
      </c>
      <c r="N445">
        <v>3</v>
      </c>
      <c r="O445" t="s">
        <v>22</v>
      </c>
      <c r="P445">
        <v>3556.39</v>
      </c>
      <c r="Q445" t="s">
        <v>35</v>
      </c>
      <c r="R445" t="s">
        <v>36</v>
      </c>
      <c r="S445">
        <v>560001</v>
      </c>
      <c r="T445" t="s">
        <v>25</v>
      </c>
      <c r="U445" t="s">
        <v>44</v>
      </c>
    </row>
    <row r="446" spans="1:21" x14ac:dyDescent="0.3">
      <c r="A446">
        <v>445</v>
      </c>
      <c r="B446" t="s">
        <v>1620</v>
      </c>
      <c r="C446" t="s">
        <v>131</v>
      </c>
      <c r="D446" t="s">
        <v>15</v>
      </c>
      <c r="E446">
        <v>18</v>
      </c>
      <c r="F446" t="str">
        <f t="shared" si="12"/>
        <v>Teenager</v>
      </c>
      <c r="G446" t="s">
        <v>1621</v>
      </c>
      <c r="H446" t="str">
        <f t="shared" si="13"/>
        <v>Feb</v>
      </c>
      <c r="I446" t="s">
        <v>60</v>
      </c>
      <c r="J446" t="s">
        <v>18</v>
      </c>
      <c r="K446" t="s">
        <v>1622</v>
      </c>
      <c r="L446" t="s">
        <v>56</v>
      </c>
      <c r="M446" t="s">
        <v>85</v>
      </c>
      <c r="N446">
        <v>5</v>
      </c>
      <c r="O446" t="s">
        <v>22</v>
      </c>
      <c r="P446">
        <v>4691.24</v>
      </c>
      <c r="Q446" t="s">
        <v>42</v>
      </c>
      <c r="R446" t="s">
        <v>43</v>
      </c>
      <c r="S446">
        <v>302001</v>
      </c>
      <c r="T446" t="s">
        <v>25</v>
      </c>
      <c r="U446" t="s">
        <v>26</v>
      </c>
    </row>
    <row r="447" spans="1:21" x14ac:dyDescent="0.3">
      <c r="A447">
        <v>446</v>
      </c>
      <c r="B447" t="s">
        <v>1623</v>
      </c>
      <c r="C447" t="s">
        <v>1624</v>
      </c>
      <c r="D447" t="s">
        <v>15</v>
      </c>
      <c r="E447">
        <v>59</v>
      </c>
      <c r="F447" t="str">
        <f t="shared" si="12"/>
        <v>Senior</v>
      </c>
      <c r="G447" t="s">
        <v>1625</v>
      </c>
      <c r="H447" t="str">
        <f t="shared" si="13"/>
        <v>Mar</v>
      </c>
      <c r="I447" t="s">
        <v>48</v>
      </c>
      <c r="J447" t="s">
        <v>18</v>
      </c>
      <c r="K447" t="s">
        <v>1626</v>
      </c>
      <c r="L447" t="s">
        <v>33</v>
      </c>
      <c r="M447" t="s">
        <v>50</v>
      </c>
      <c r="N447">
        <v>4</v>
      </c>
      <c r="O447" t="s">
        <v>22</v>
      </c>
      <c r="P447">
        <v>1564.69</v>
      </c>
      <c r="Q447" t="s">
        <v>74</v>
      </c>
      <c r="R447" t="s">
        <v>75</v>
      </c>
      <c r="S447">
        <v>226001</v>
      </c>
      <c r="T447" t="s">
        <v>25</v>
      </c>
      <c r="U447" t="s">
        <v>26</v>
      </c>
    </row>
    <row r="448" spans="1:21" x14ac:dyDescent="0.3">
      <c r="A448">
        <v>447</v>
      </c>
      <c r="B448" t="s">
        <v>1627</v>
      </c>
      <c r="C448" t="s">
        <v>1628</v>
      </c>
      <c r="D448" t="s">
        <v>15</v>
      </c>
      <c r="E448">
        <v>36</v>
      </c>
      <c r="F448" t="str">
        <f t="shared" si="12"/>
        <v>Adult</v>
      </c>
      <c r="G448" t="s">
        <v>1629</v>
      </c>
      <c r="H448" t="str">
        <f t="shared" si="13"/>
        <v>Sep</v>
      </c>
      <c r="I448" t="s">
        <v>70</v>
      </c>
      <c r="J448" t="s">
        <v>79</v>
      </c>
      <c r="K448" t="s">
        <v>1630</v>
      </c>
      <c r="L448" t="s">
        <v>20</v>
      </c>
      <c r="M448" t="s">
        <v>21</v>
      </c>
      <c r="N448">
        <v>4</v>
      </c>
      <c r="O448" t="s">
        <v>22</v>
      </c>
      <c r="P448">
        <v>4454.1499999999996</v>
      </c>
      <c r="Q448" t="s">
        <v>23</v>
      </c>
      <c r="R448" t="s">
        <v>24</v>
      </c>
      <c r="S448">
        <v>400001</v>
      </c>
      <c r="T448" t="s">
        <v>25</v>
      </c>
      <c r="U448" t="s">
        <v>26</v>
      </c>
    </row>
    <row r="449" spans="1:21" x14ac:dyDescent="0.3">
      <c r="A449">
        <v>448</v>
      </c>
      <c r="B449" t="s">
        <v>1631</v>
      </c>
      <c r="C449" t="s">
        <v>1632</v>
      </c>
      <c r="D449" t="s">
        <v>29</v>
      </c>
      <c r="E449">
        <v>60</v>
      </c>
      <c r="F449" t="str">
        <f t="shared" si="12"/>
        <v>Senior</v>
      </c>
      <c r="G449" t="s">
        <v>312</v>
      </c>
      <c r="H449" t="str">
        <f t="shared" si="13"/>
        <v>Oct</v>
      </c>
      <c r="I449" t="s">
        <v>48</v>
      </c>
      <c r="J449" t="s">
        <v>40</v>
      </c>
      <c r="K449" t="s">
        <v>1633</v>
      </c>
      <c r="L449" t="s">
        <v>33</v>
      </c>
      <c r="M449" t="s">
        <v>85</v>
      </c>
      <c r="N449">
        <v>3</v>
      </c>
      <c r="O449" t="s">
        <v>22</v>
      </c>
      <c r="P449">
        <v>623.66</v>
      </c>
      <c r="Q449" t="s">
        <v>42</v>
      </c>
      <c r="R449" t="s">
        <v>43</v>
      </c>
      <c r="S449">
        <v>302001</v>
      </c>
      <c r="T449" t="s">
        <v>25</v>
      </c>
      <c r="U449" t="s">
        <v>26</v>
      </c>
    </row>
    <row r="450" spans="1:21" x14ac:dyDescent="0.3">
      <c r="A450">
        <v>449</v>
      </c>
      <c r="B450" t="s">
        <v>1634</v>
      </c>
      <c r="C450" t="s">
        <v>1635</v>
      </c>
      <c r="D450" t="s">
        <v>15</v>
      </c>
      <c r="E450">
        <v>55</v>
      </c>
      <c r="F450" t="str">
        <f t="shared" si="12"/>
        <v>Senior</v>
      </c>
      <c r="G450" t="s">
        <v>1636</v>
      </c>
      <c r="H450" t="str">
        <f t="shared" si="13"/>
        <v>Sep</v>
      </c>
      <c r="I450" t="s">
        <v>60</v>
      </c>
      <c r="J450" t="s">
        <v>40</v>
      </c>
      <c r="K450" t="s">
        <v>1637</v>
      </c>
      <c r="L450" t="s">
        <v>33</v>
      </c>
      <c r="M450" t="s">
        <v>21</v>
      </c>
      <c r="N450">
        <v>4</v>
      </c>
      <c r="O450" t="s">
        <v>22</v>
      </c>
      <c r="P450">
        <v>4607.63</v>
      </c>
      <c r="Q450" t="s">
        <v>23</v>
      </c>
      <c r="R450" t="s">
        <v>24</v>
      </c>
      <c r="S450">
        <v>400001</v>
      </c>
      <c r="T450" t="s">
        <v>25</v>
      </c>
      <c r="U450" t="s">
        <v>44</v>
      </c>
    </row>
    <row r="451" spans="1:21" x14ac:dyDescent="0.3">
      <c r="A451">
        <v>450</v>
      </c>
      <c r="B451" t="s">
        <v>1638</v>
      </c>
      <c r="C451" t="s">
        <v>95</v>
      </c>
      <c r="D451" t="s">
        <v>29</v>
      </c>
      <c r="E451">
        <v>42</v>
      </c>
      <c r="F451" t="str">
        <f t="shared" ref="F451:F514" si="14">IF(E451&gt;=50,"Senior", IF(E451&gt;=30, "Adult","Teenager"))</f>
        <v>Adult</v>
      </c>
      <c r="G451" t="s">
        <v>546</v>
      </c>
      <c r="H451" t="str">
        <f t="shared" ref="H451:H514" si="15">TEXT(G451,"MMM")</f>
        <v>Sep</v>
      </c>
      <c r="I451" t="s">
        <v>17</v>
      </c>
      <c r="J451" t="s">
        <v>71</v>
      </c>
      <c r="K451" t="s">
        <v>1639</v>
      </c>
      <c r="L451" t="s">
        <v>62</v>
      </c>
      <c r="M451" t="s">
        <v>85</v>
      </c>
      <c r="N451">
        <v>5</v>
      </c>
      <c r="O451" t="s">
        <v>22</v>
      </c>
      <c r="P451">
        <v>649.11</v>
      </c>
      <c r="Q451" t="s">
        <v>74</v>
      </c>
      <c r="R451" t="s">
        <v>75</v>
      </c>
      <c r="S451">
        <v>226001</v>
      </c>
      <c r="T451" t="s">
        <v>25</v>
      </c>
      <c r="U451" t="s">
        <v>26</v>
      </c>
    </row>
    <row r="452" spans="1:21" x14ac:dyDescent="0.3">
      <c r="A452">
        <v>451</v>
      </c>
      <c r="B452" t="s">
        <v>1640</v>
      </c>
      <c r="C452" t="s">
        <v>1641</v>
      </c>
      <c r="D452" t="s">
        <v>29</v>
      </c>
      <c r="E452">
        <v>36</v>
      </c>
      <c r="F452" t="str">
        <f t="shared" si="14"/>
        <v>Adult</v>
      </c>
      <c r="G452" t="s">
        <v>226</v>
      </c>
      <c r="H452" t="str">
        <f t="shared" si="15"/>
        <v>Jul</v>
      </c>
      <c r="I452" t="s">
        <v>17</v>
      </c>
      <c r="J452" t="s">
        <v>40</v>
      </c>
      <c r="K452" t="s">
        <v>1642</v>
      </c>
      <c r="L452" t="s">
        <v>73</v>
      </c>
      <c r="M452" t="s">
        <v>85</v>
      </c>
      <c r="N452">
        <v>4</v>
      </c>
      <c r="O452" t="s">
        <v>22</v>
      </c>
      <c r="P452">
        <v>1100.73</v>
      </c>
      <c r="Q452" t="s">
        <v>42</v>
      </c>
      <c r="R452" t="s">
        <v>43</v>
      </c>
      <c r="S452">
        <v>302001</v>
      </c>
      <c r="T452" t="s">
        <v>25</v>
      </c>
      <c r="U452" t="s">
        <v>26</v>
      </c>
    </row>
    <row r="453" spans="1:21" x14ac:dyDescent="0.3">
      <c r="A453">
        <v>452</v>
      </c>
      <c r="B453" t="s">
        <v>1643</v>
      </c>
      <c r="C453" t="s">
        <v>1644</v>
      </c>
      <c r="D453" t="s">
        <v>29</v>
      </c>
      <c r="E453">
        <v>37</v>
      </c>
      <c r="F453" t="str">
        <f t="shared" si="14"/>
        <v>Adult</v>
      </c>
      <c r="G453" t="s">
        <v>1569</v>
      </c>
      <c r="H453" t="str">
        <f t="shared" si="15"/>
        <v>Mar</v>
      </c>
      <c r="I453" t="s">
        <v>17</v>
      </c>
      <c r="J453" t="s">
        <v>40</v>
      </c>
      <c r="K453" t="s">
        <v>1645</v>
      </c>
      <c r="L453" t="s">
        <v>62</v>
      </c>
      <c r="M453" t="s">
        <v>34</v>
      </c>
      <c r="N453">
        <v>3</v>
      </c>
      <c r="O453" t="s">
        <v>22</v>
      </c>
      <c r="P453">
        <v>2412.27</v>
      </c>
      <c r="Q453" t="s">
        <v>51</v>
      </c>
      <c r="R453" t="s">
        <v>51</v>
      </c>
      <c r="S453">
        <v>110001</v>
      </c>
      <c r="T453" t="s">
        <v>25</v>
      </c>
      <c r="U453" t="s">
        <v>44</v>
      </c>
    </row>
    <row r="454" spans="1:21" x14ac:dyDescent="0.3">
      <c r="A454">
        <v>453</v>
      </c>
      <c r="B454" t="s">
        <v>1646</v>
      </c>
      <c r="C454" t="s">
        <v>1647</v>
      </c>
      <c r="D454" t="s">
        <v>29</v>
      </c>
      <c r="E454">
        <v>60</v>
      </c>
      <c r="F454" t="str">
        <f t="shared" si="14"/>
        <v>Senior</v>
      </c>
      <c r="G454" t="s">
        <v>1314</v>
      </c>
      <c r="H454" t="str">
        <f t="shared" si="15"/>
        <v>Sep</v>
      </c>
      <c r="I454" t="s">
        <v>48</v>
      </c>
      <c r="J454" t="s">
        <v>71</v>
      </c>
      <c r="K454" t="s">
        <v>1648</v>
      </c>
      <c r="L454" t="s">
        <v>62</v>
      </c>
      <c r="M454" t="s">
        <v>21</v>
      </c>
      <c r="N454">
        <v>5</v>
      </c>
      <c r="O454" t="s">
        <v>22</v>
      </c>
      <c r="P454">
        <v>3620.33</v>
      </c>
      <c r="Q454" t="s">
        <v>35</v>
      </c>
      <c r="R454" t="s">
        <v>36</v>
      </c>
      <c r="S454">
        <v>560001</v>
      </c>
      <c r="T454" t="s">
        <v>25</v>
      </c>
      <c r="U454" t="s">
        <v>44</v>
      </c>
    </row>
    <row r="455" spans="1:21" x14ac:dyDescent="0.3">
      <c r="A455">
        <v>454</v>
      </c>
      <c r="B455" t="s">
        <v>1649</v>
      </c>
      <c r="C455" t="s">
        <v>1650</v>
      </c>
      <c r="D455" t="s">
        <v>29</v>
      </c>
      <c r="E455">
        <v>26</v>
      </c>
      <c r="F455" t="str">
        <f t="shared" si="14"/>
        <v>Teenager</v>
      </c>
      <c r="G455" t="s">
        <v>1621</v>
      </c>
      <c r="H455" t="str">
        <f t="shared" si="15"/>
        <v>Feb</v>
      </c>
      <c r="I455" t="s">
        <v>17</v>
      </c>
      <c r="J455" t="s">
        <v>40</v>
      </c>
      <c r="K455" t="s">
        <v>1651</v>
      </c>
      <c r="L455" t="s">
        <v>73</v>
      </c>
      <c r="M455" t="s">
        <v>85</v>
      </c>
      <c r="N455">
        <v>2</v>
      </c>
      <c r="O455" t="s">
        <v>22</v>
      </c>
      <c r="P455">
        <v>2610.34</v>
      </c>
      <c r="Q455" t="s">
        <v>74</v>
      </c>
      <c r="R455" t="s">
        <v>75</v>
      </c>
      <c r="S455">
        <v>226001</v>
      </c>
      <c r="T455" t="s">
        <v>25</v>
      </c>
      <c r="U455" t="s">
        <v>26</v>
      </c>
    </row>
    <row r="456" spans="1:21" x14ac:dyDescent="0.3">
      <c r="A456">
        <v>455</v>
      </c>
      <c r="B456" t="s">
        <v>1652</v>
      </c>
      <c r="C456" t="s">
        <v>1653</v>
      </c>
      <c r="D456" t="s">
        <v>15</v>
      </c>
      <c r="E456">
        <v>20</v>
      </c>
      <c r="F456" t="str">
        <f t="shared" si="14"/>
        <v>Teenager</v>
      </c>
      <c r="G456" t="s">
        <v>222</v>
      </c>
      <c r="H456" t="str">
        <f t="shared" si="15"/>
        <v>Aug</v>
      </c>
      <c r="I456" t="s">
        <v>17</v>
      </c>
      <c r="J456" t="s">
        <v>31</v>
      </c>
      <c r="K456" t="s">
        <v>1654</v>
      </c>
      <c r="L456" t="s">
        <v>56</v>
      </c>
      <c r="M456" t="s">
        <v>34</v>
      </c>
      <c r="N456">
        <v>4</v>
      </c>
      <c r="O456" t="s">
        <v>22</v>
      </c>
      <c r="P456">
        <v>774.56</v>
      </c>
      <c r="Q456" t="s">
        <v>42</v>
      </c>
      <c r="R456" t="s">
        <v>43</v>
      </c>
      <c r="S456">
        <v>302001</v>
      </c>
      <c r="T456" t="s">
        <v>25</v>
      </c>
      <c r="U456" t="s">
        <v>44</v>
      </c>
    </row>
    <row r="457" spans="1:21" x14ac:dyDescent="0.3">
      <c r="A457">
        <v>456</v>
      </c>
      <c r="B457" t="s">
        <v>1655</v>
      </c>
      <c r="C457" t="s">
        <v>1656</v>
      </c>
      <c r="D457" t="s">
        <v>29</v>
      </c>
      <c r="E457">
        <v>41</v>
      </c>
      <c r="F457" t="str">
        <f t="shared" si="14"/>
        <v>Adult</v>
      </c>
      <c r="G457" t="s">
        <v>1657</v>
      </c>
      <c r="H457" t="str">
        <f t="shared" si="15"/>
        <v>Dec</v>
      </c>
      <c r="I457" t="s">
        <v>70</v>
      </c>
      <c r="J457" t="s">
        <v>71</v>
      </c>
      <c r="K457" t="s">
        <v>1658</v>
      </c>
      <c r="L457" t="s">
        <v>56</v>
      </c>
      <c r="M457" t="s">
        <v>50</v>
      </c>
      <c r="N457">
        <v>3</v>
      </c>
      <c r="O457" t="s">
        <v>22</v>
      </c>
      <c r="P457">
        <v>467.51</v>
      </c>
      <c r="Q457" t="s">
        <v>23</v>
      </c>
      <c r="R457" t="s">
        <v>24</v>
      </c>
      <c r="S457">
        <v>400001</v>
      </c>
      <c r="T457" t="s">
        <v>25</v>
      </c>
      <c r="U457" t="s">
        <v>44</v>
      </c>
    </row>
    <row r="458" spans="1:21" x14ac:dyDescent="0.3">
      <c r="A458">
        <v>457</v>
      </c>
      <c r="B458" t="s">
        <v>1659</v>
      </c>
      <c r="C458" t="s">
        <v>1660</v>
      </c>
      <c r="D458" t="s">
        <v>15</v>
      </c>
      <c r="E458">
        <v>21</v>
      </c>
      <c r="F458" t="str">
        <f t="shared" si="14"/>
        <v>Teenager</v>
      </c>
      <c r="G458" t="s">
        <v>1580</v>
      </c>
      <c r="H458" t="str">
        <f t="shared" si="15"/>
        <v>Dec</v>
      </c>
      <c r="I458" t="s">
        <v>70</v>
      </c>
      <c r="J458" t="s">
        <v>101</v>
      </c>
      <c r="K458" t="s">
        <v>1661</v>
      </c>
      <c r="L458" t="s">
        <v>33</v>
      </c>
      <c r="M458" t="s">
        <v>21</v>
      </c>
      <c r="N458">
        <v>5</v>
      </c>
      <c r="O458" t="s">
        <v>22</v>
      </c>
      <c r="P458">
        <v>3586.7</v>
      </c>
      <c r="Q458" t="s">
        <v>42</v>
      </c>
      <c r="R458" t="s">
        <v>43</v>
      </c>
      <c r="S458">
        <v>302001</v>
      </c>
      <c r="T458" t="s">
        <v>25</v>
      </c>
      <c r="U458" t="s">
        <v>44</v>
      </c>
    </row>
    <row r="459" spans="1:21" x14ac:dyDescent="0.3">
      <c r="A459">
        <v>458</v>
      </c>
      <c r="B459" t="s">
        <v>1662</v>
      </c>
      <c r="C459" t="s">
        <v>1663</v>
      </c>
      <c r="D459" t="s">
        <v>29</v>
      </c>
      <c r="E459">
        <v>51</v>
      </c>
      <c r="F459" t="str">
        <f t="shared" si="14"/>
        <v>Senior</v>
      </c>
      <c r="G459" t="s">
        <v>214</v>
      </c>
      <c r="H459" t="str">
        <f t="shared" si="15"/>
        <v>Jul</v>
      </c>
      <c r="I459" t="s">
        <v>70</v>
      </c>
      <c r="J459" t="s">
        <v>31</v>
      </c>
      <c r="K459" t="s">
        <v>1664</v>
      </c>
      <c r="L459" t="s">
        <v>62</v>
      </c>
      <c r="M459" t="s">
        <v>50</v>
      </c>
      <c r="N459">
        <v>3</v>
      </c>
      <c r="O459" t="s">
        <v>22</v>
      </c>
      <c r="P459">
        <v>3110.96</v>
      </c>
      <c r="Q459" t="s">
        <v>74</v>
      </c>
      <c r="R459" t="s">
        <v>75</v>
      </c>
      <c r="S459">
        <v>226001</v>
      </c>
      <c r="T459" t="s">
        <v>25</v>
      </c>
      <c r="U459" t="s">
        <v>44</v>
      </c>
    </row>
    <row r="460" spans="1:21" x14ac:dyDescent="0.3">
      <c r="A460">
        <v>459</v>
      </c>
      <c r="B460" t="s">
        <v>1665</v>
      </c>
      <c r="C460" t="s">
        <v>1666</v>
      </c>
      <c r="D460" t="s">
        <v>15</v>
      </c>
      <c r="E460">
        <v>54</v>
      </c>
      <c r="F460" t="str">
        <f t="shared" si="14"/>
        <v>Senior</v>
      </c>
      <c r="G460" t="s">
        <v>1667</v>
      </c>
      <c r="H460" t="str">
        <f t="shared" si="15"/>
        <v>Jan</v>
      </c>
      <c r="I460" t="s">
        <v>60</v>
      </c>
      <c r="J460" t="s">
        <v>31</v>
      </c>
      <c r="K460" t="s">
        <v>1668</v>
      </c>
      <c r="L460" t="s">
        <v>73</v>
      </c>
      <c r="M460" t="s">
        <v>21</v>
      </c>
      <c r="N460">
        <v>4</v>
      </c>
      <c r="O460" t="s">
        <v>22</v>
      </c>
      <c r="P460">
        <v>1358.61</v>
      </c>
      <c r="Q460" t="s">
        <v>51</v>
      </c>
      <c r="R460" t="s">
        <v>51</v>
      </c>
      <c r="S460">
        <v>110001</v>
      </c>
      <c r="T460" t="s">
        <v>25</v>
      </c>
      <c r="U460" t="s">
        <v>44</v>
      </c>
    </row>
    <row r="461" spans="1:21" x14ac:dyDescent="0.3">
      <c r="A461">
        <v>460</v>
      </c>
      <c r="B461" t="s">
        <v>1669</v>
      </c>
      <c r="C461" t="s">
        <v>1670</v>
      </c>
      <c r="D461" t="s">
        <v>15</v>
      </c>
      <c r="E461">
        <v>24</v>
      </c>
      <c r="F461" t="str">
        <f t="shared" si="14"/>
        <v>Teenager</v>
      </c>
      <c r="G461" t="s">
        <v>853</v>
      </c>
      <c r="H461" t="str">
        <f t="shared" si="15"/>
        <v>Jan</v>
      </c>
      <c r="I461" t="s">
        <v>48</v>
      </c>
      <c r="J461" t="s">
        <v>31</v>
      </c>
      <c r="K461" t="s">
        <v>1671</v>
      </c>
      <c r="L461" t="s">
        <v>62</v>
      </c>
      <c r="M461" t="s">
        <v>85</v>
      </c>
      <c r="N461">
        <v>5</v>
      </c>
      <c r="O461" t="s">
        <v>22</v>
      </c>
      <c r="P461">
        <v>2210.5300000000002</v>
      </c>
      <c r="Q461" t="s">
        <v>23</v>
      </c>
      <c r="R461" t="s">
        <v>24</v>
      </c>
      <c r="S461">
        <v>400001</v>
      </c>
      <c r="T461" t="s">
        <v>25</v>
      </c>
      <c r="U461" t="s">
        <v>26</v>
      </c>
    </row>
    <row r="462" spans="1:21" x14ac:dyDescent="0.3">
      <c r="A462">
        <v>461</v>
      </c>
      <c r="B462" t="s">
        <v>1672</v>
      </c>
      <c r="C462" t="s">
        <v>1673</v>
      </c>
      <c r="D462" t="s">
        <v>29</v>
      </c>
      <c r="E462">
        <v>40</v>
      </c>
      <c r="F462" t="str">
        <f t="shared" si="14"/>
        <v>Adult</v>
      </c>
      <c r="G462" t="s">
        <v>1140</v>
      </c>
      <c r="H462" t="str">
        <f t="shared" si="15"/>
        <v>Jan</v>
      </c>
      <c r="I462" t="s">
        <v>70</v>
      </c>
      <c r="J462" t="s">
        <v>31</v>
      </c>
      <c r="K462" t="s">
        <v>1674</v>
      </c>
      <c r="L462" t="s">
        <v>56</v>
      </c>
      <c r="M462" t="s">
        <v>34</v>
      </c>
      <c r="N462">
        <v>2</v>
      </c>
      <c r="O462" t="s">
        <v>22</v>
      </c>
      <c r="P462">
        <v>4578.6899999999996</v>
      </c>
      <c r="Q462" t="s">
        <v>42</v>
      </c>
      <c r="R462" t="s">
        <v>43</v>
      </c>
      <c r="S462">
        <v>302001</v>
      </c>
      <c r="T462" t="s">
        <v>25</v>
      </c>
      <c r="U462" t="s">
        <v>44</v>
      </c>
    </row>
    <row r="463" spans="1:21" x14ac:dyDescent="0.3">
      <c r="A463">
        <v>462</v>
      </c>
      <c r="B463" t="s">
        <v>1675</v>
      </c>
      <c r="C463" t="s">
        <v>1676</v>
      </c>
      <c r="D463" t="s">
        <v>15</v>
      </c>
      <c r="E463">
        <v>53</v>
      </c>
      <c r="F463" t="str">
        <f t="shared" si="14"/>
        <v>Senior</v>
      </c>
      <c r="G463" t="s">
        <v>1677</v>
      </c>
      <c r="H463" t="str">
        <f t="shared" si="15"/>
        <v>Jul</v>
      </c>
      <c r="I463" t="s">
        <v>17</v>
      </c>
      <c r="J463" t="s">
        <v>31</v>
      </c>
      <c r="K463" t="s">
        <v>1678</v>
      </c>
      <c r="L463" t="s">
        <v>62</v>
      </c>
      <c r="M463" t="s">
        <v>50</v>
      </c>
      <c r="N463">
        <v>3</v>
      </c>
      <c r="O463" t="s">
        <v>22</v>
      </c>
      <c r="P463">
        <v>2496.5</v>
      </c>
      <c r="Q463" t="s">
        <v>74</v>
      </c>
      <c r="R463" t="s">
        <v>75</v>
      </c>
      <c r="S463">
        <v>226001</v>
      </c>
      <c r="T463" t="s">
        <v>25</v>
      </c>
      <c r="U463" t="s">
        <v>26</v>
      </c>
    </row>
    <row r="464" spans="1:21" x14ac:dyDescent="0.3">
      <c r="A464">
        <v>463</v>
      </c>
      <c r="B464" t="s">
        <v>1679</v>
      </c>
      <c r="C464" t="s">
        <v>1680</v>
      </c>
      <c r="D464" t="s">
        <v>15</v>
      </c>
      <c r="E464">
        <v>59</v>
      </c>
      <c r="F464" t="str">
        <f t="shared" si="14"/>
        <v>Senior</v>
      </c>
      <c r="G464" t="s">
        <v>1681</v>
      </c>
      <c r="H464" t="str">
        <f t="shared" si="15"/>
        <v>Mar</v>
      </c>
      <c r="I464" t="s">
        <v>70</v>
      </c>
      <c r="J464" t="s">
        <v>31</v>
      </c>
      <c r="K464" t="s">
        <v>1682</v>
      </c>
      <c r="L464" t="s">
        <v>33</v>
      </c>
      <c r="M464" t="s">
        <v>50</v>
      </c>
      <c r="N464">
        <v>1</v>
      </c>
      <c r="O464" t="s">
        <v>22</v>
      </c>
      <c r="P464">
        <v>3753.21</v>
      </c>
      <c r="Q464" t="s">
        <v>23</v>
      </c>
      <c r="R464" t="s">
        <v>24</v>
      </c>
      <c r="S464">
        <v>400001</v>
      </c>
      <c r="T464" t="s">
        <v>25</v>
      </c>
      <c r="U464" t="s">
        <v>44</v>
      </c>
    </row>
    <row r="465" spans="1:21" x14ac:dyDescent="0.3">
      <c r="A465">
        <v>464</v>
      </c>
      <c r="B465" t="s">
        <v>1683</v>
      </c>
      <c r="C465" t="s">
        <v>1684</v>
      </c>
      <c r="D465" t="s">
        <v>29</v>
      </c>
      <c r="E465">
        <v>53</v>
      </c>
      <c r="F465" t="str">
        <f t="shared" si="14"/>
        <v>Senior</v>
      </c>
      <c r="G465" t="s">
        <v>1388</v>
      </c>
      <c r="H465" t="str">
        <f t="shared" si="15"/>
        <v>Nov</v>
      </c>
      <c r="I465" t="s">
        <v>70</v>
      </c>
      <c r="J465" t="s">
        <v>31</v>
      </c>
      <c r="K465" t="s">
        <v>1685</v>
      </c>
      <c r="L465" t="s">
        <v>107</v>
      </c>
      <c r="M465" t="s">
        <v>21</v>
      </c>
      <c r="N465">
        <v>3</v>
      </c>
      <c r="O465" t="s">
        <v>22</v>
      </c>
      <c r="P465">
        <v>1010.24</v>
      </c>
      <c r="Q465" t="s">
        <v>35</v>
      </c>
      <c r="R465" t="s">
        <v>36</v>
      </c>
      <c r="S465">
        <v>560001</v>
      </c>
      <c r="T465" t="s">
        <v>25</v>
      </c>
      <c r="U465" t="s">
        <v>26</v>
      </c>
    </row>
    <row r="466" spans="1:21" x14ac:dyDescent="0.3">
      <c r="A466">
        <v>465</v>
      </c>
      <c r="B466" t="s">
        <v>1686</v>
      </c>
      <c r="C466" t="s">
        <v>1687</v>
      </c>
      <c r="D466" t="s">
        <v>15</v>
      </c>
      <c r="E466">
        <v>55</v>
      </c>
      <c r="F466" t="str">
        <f t="shared" si="14"/>
        <v>Senior</v>
      </c>
      <c r="G466" t="s">
        <v>419</v>
      </c>
      <c r="H466" t="str">
        <f t="shared" si="15"/>
        <v>Jun</v>
      </c>
      <c r="I466" t="s">
        <v>70</v>
      </c>
      <c r="J466" t="s">
        <v>31</v>
      </c>
      <c r="K466" t="s">
        <v>1688</v>
      </c>
      <c r="L466" t="s">
        <v>62</v>
      </c>
      <c r="M466" t="s">
        <v>21</v>
      </c>
      <c r="N466">
        <v>3</v>
      </c>
      <c r="O466" t="s">
        <v>22</v>
      </c>
      <c r="P466">
        <v>3897.41</v>
      </c>
      <c r="Q466" t="s">
        <v>23</v>
      </c>
      <c r="R466" t="s">
        <v>24</v>
      </c>
      <c r="S466">
        <v>400001</v>
      </c>
      <c r="T466" t="s">
        <v>25</v>
      </c>
      <c r="U466" t="s">
        <v>44</v>
      </c>
    </row>
    <row r="467" spans="1:21" x14ac:dyDescent="0.3">
      <c r="A467">
        <v>466</v>
      </c>
      <c r="B467" t="s">
        <v>1689</v>
      </c>
      <c r="C467" t="s">
        <v>1690</v>
      </c>
      <c r="D467" t="s">
        <v>29</v>
      </c>
      <c r="E467">
        <v>23</v>
      </c>
      <c r="F467" t="str">
        <f t="shared" si="14"/>
        <v>Teenager</v>
      </c>
      <c r="G467" t="s">
        <v>408</v>
      </c>
      <c r="H467" t="str">
        <f t="shared" si="15"/>
        <v>Mar</v>
      </c>
      <c r="I467" t="s">
        <v>48</v>
      </c>
      <c r="J467" t="s">
        <v>31</v>
      </c>
      <c r="K467" t="s">
        <v>1691</v>
      </c>
      <c r="L467" t="s">
        <v>62</v>
      </c>
      <c r="M467" t="s">
        <v>21</v>
      </c>
      <c r="N467">
        <v>1</v>
      </c>
      <c r="O467" t="s">
        <v>22</v>
      </c>
      <c r="P467">
        <v>1775.79</v>
      </c>
      <c r="Q467" t="s">
        <v>74</v>
      </c>
      <c r="R467" t="s">
        <v>75</v>
      </c>
      <c r="S467">
        <v>226001</v>
      </c>
      <c r="T467" t="s">
        <v>25</v>
      </c>
      <c r="U467" t="s">
        <v>44</v>
      </c>
    </row>
    <row r="468" spans="1:21" x14ac:dyDescent="0.3">
      <c r="A468">
        <v>467</v>
      </c>
      <c r="B468" t="s">
        <v>1692</v>
      </c>
      <c r="C468" t="s">
        <v>1693</v>
      </c>
      <c r="D468" t="s">
        <v>15</v>
      </c>
      <c r="E468">
        <v>39</v>
      </c>
      <c r="F468" t="str">
        <f t="shared" si="14"/>
        <v>Adult</v>
      </c>
      <c r="G468" t="s">
        <v>1625</v>
      </c>
      <c r="H468" t="str">
        <f t="shared" si="15"/>
        <v>Mar</v>
      </c>
      <c r="I468" t="s">
        <v>60</v>
      </c>
      <c r="J468" t="s">
        <v>31</v>
      </c>
      <c r="K468" t="s">
        <v>1694</v>
      </c>
      <c r="L468" t="s">
        <v>107</v>
      </c>
      <c r="M468" t="s">
        <v>21</v>
      </c>
      <c r="N468">
        <v>4</v>
      </c>
      <c r="O468" t="s">
        <v>22</v>
      </c>
      <c r="P468">
        <v>2667.52</v>
      </c>
      <c r="Q468" t="s">
        <v>42</v>
      </c>
      <c r="R468" t="s">
        <v>43</v>
      </c>
      <c r="S468">
        <v>302001</v>
      </c>
      <c r="T468" t="s">
        <v>25</v>
      </c>
      <c r="U468" t="s">
        <v>44</v>
      </c>
    </row>
    <row r="469" spans="1:21" x14ac:dyDescent="0.3">
      <c r="A469">
        <v>468</v>
      </c>
      <c r="B469" t="s">
        <v>1695</v>
      </c>
      <c r="C469" t="s">
        <v>1696</v>
      </c>
      <c r="D469" t="s">
        <v>29</v>
      </c>
      <c r="E469">
        <v>49</v>
      </c>
      <c r="F469" t="str">
        <f t="shared" si="14"/>
        <v>Adult</v>
      </c>
      <c r="G469" t="s">
        <v>1375</v>
      </c>
      <c r="H469" t="str">
        <f t="shared" si="15"/>
        <v>Apr</v>
      </c>
      <c r="I469" t="s">
        <v>48</v>
      </c>
      <c r="J469" t="s">
        <v>31</v>
      </c>
      <c r="K469" t="s">
        <v>1697</v>
      </c>
      <c r="L469" t="s">
        <v>56</v>
      </c>
      <c r="M469" t="s">
        <v>21</v>
      </c>
      <c r="N469">
        <v>4</v>
      </c>
      <c r="O469" t="s">
        <v>22</v>
      </c>
      <c r="P469">
        <v>1963.7</v>
      </c>
      <c r="Q469" t="s">
        <v>51</v>
      </c>
      <c r="R469" t="s">
        <v>51</v>
      </c>
      <c r="S469">
        <v>110001</v>
      </c>
      <c r="T469" t="s">
        <v>25</v>
      </c>
      <c r="U469" t="s">
        <v>26</v>
      </c>
    </row>
    <row r="470" spans="1:21" x14ac:dyDescent="0.3">
      <c r="A470">
        <v>469</v>
      </c>
      <c r="B470" t="s">
        <v>1698</v>
      </c>
      <c r="C470" t="s">
        <v>1699</v>
      </c>
      <c r="D470" t="s">
        <v>29</v>
      </c>
      <c r="E470">
        <v>50</v>
      </c>
      <c r="F470" t="str">
        <f t="shared" si="14"/>
        <v>Senior</v>
      </c>
      <c r="G470" t="s">
        <v>346</v>
      </c>
      <c r="H470" t="str">
        <f t="shared" si="15"/>
        <v>Aug</v>
      </c>
      <c r="I470" t="s">
        <v>48</v>
      </c>
      <c r="J470" t="s">
        <v>31</v>
      </c>
      <c r="K470" t="s">
        <v>1700</v>
      </c>
      <c r="L470" t="s">
        <v>33</v>
      </c>
      <c r="M470" t="s">
        <v>21</v>
      </c>
      <c r="N470">
        <v>3</v>
      </c>
      <c r="O470" t="s">
        <v>22</v>
      </c>
      <c r="P470">
        <v>3774.31</v>
      </c>
      <c r="Q470" t="s">
        <v>23</v>
      </c>
      <c r="R470" t="s">
        <v>24</v>
      </c>
      <c r="S470">
        <v>400001</v>
      </c>
      <c r="T470" t="s">
        <v>25</v>
      </c>
      <c r="U470" t="s">
        <v>44</v>
      </c>
    </row>
    <row r="471" spans="1:21" x14ac:dyDescent="0.3">
      <c r="A471">
        <v>470</v>
      </c>
      <c r="B471" t="s">
        <v>1701</v>
      </c>
      <c r="C471" t="s">
        <v>1702</v>
      </c>
      <c r="D471" t="s">
        <v>15</v>
      </c>
      <c r="E471">
        <v>22</v>
      </c>
      <c r="F471" t="str">
        <f t="shared" si="14"/>
        <v>Teenager</v>
      </c>
      <c r="G471" t="s">
        <v>1703</v>
      </c>
      <c r="H471" t="str">
        <f t="shared" si="15"/>
        <v>Nov</v>
      </c>
      <c r="I471" t="s">
        <v>48</v>
      </c>
      <c r="J471" t="s">
        <v>31</v>
      </c>
      <c r="K471" t="s">
        <v>1704</v>
      </c>
      <c r="L471" t="s">
        <v>73</v>
      </c>
      <c r="M471" t="s">
        <v>34</v>
      </c>
      <c r="N471">
        <v>2</v>
      </c>
      <c r="O471" t="s">
        <v>22</v>
      </c>
      <c r="P471">
        <v>1675.09</v>
      </c>
      <c r="Q471" t="s">
        <v>35</v>
      </c>
      <c r="R471" t="s">
        <v>36</v>
      </c>
      <c r="S471">
        <v>560001</v>
      </c>
      <c r="T471" t="s">
        <v>25</v>
      </c>
      <c r="U471" t="s">
        <v>26</v>
      </c>
    </row>
    <row r="472" spans="1:21" x14ac:dyDescent="0.3">
      <c r="A472">
        <v>471</v>
      </c>
      <c r="B472" t="s">
        <v>1705</v>
      </c>
      <c r="C472" t="s">
        <v>1706</v>
      </c>
      <c r="D472" t="s">
        <v>29</v>
      </c>
      <c r="E472">
        <v>26</v>
      </c>
      <c r="F472" t="str">
        <f t="shared" si="14"/>
        <v>Teenager</v>
      </c>
      <c r="G472" t="s">
        <v>1020</v>
      </c>
      <c r="H472" t="str">
        <f t="shared" si="15"/>
        <v>Aug</v>
      </c>
      <c r="I472" t="s">
        <v>70</v>
      </c>
      <c r="J472" t="s">
        <v>31</v>
      </c>
      <c r="K472" t="s">
        <v>1707</v>
      </c>
      <c r="L472" t="s">
        <v>33</v>
      </c>
      <c r="M472" t="s">
        <v>21</v>
      </c>
      <c r="N472">
        <v>1</v>
      </c>
      <c r="O472" t="s">
        <v>22</v>
      </c>
      <c r="P472">
        <v>430.96</v>
      </c>
      <c r="Q472" t="s">
        <v>35</v>
      </c>
      <c r="R472" t="s">
        <v>36</v>
      </c>
      <c r="S472">
        <v>560001</v>
      </c>
      <c r="T472" t="s">
        <v>25</v>
      </c>
      <c r="U472" t="s">
        <v>44</v>
      </c>
    </row>
    <row r="473" spans="1:21" x14ac:dyDescent="0.3">
      <c r="A473">
        <v>472</v>
      </c>
      <c r="B473" t="s">
        <v>1708</v>
      </c>
      <c r="C473" t="s">
        <v>1709</v>
      </c>
      <c r="D473" t="s">
        <v>29</v>
      </c>
      <c r="E473">
        <v>39</v>
      </c>
      <c r="F473" t="str">
        <f t="shared" si="14"/>
        <v>Adult</v>
      </c>
      <c r="G473" t="s">
        <v>500</v>
      </c>
      <c r="H473" t="str">
        <f t="shared" si="15"/>
        <v>May</v>
      </c>
      <c r="I473" t="s">
        <v>60</v>
      </c>
      <c r="J473" t="s">
        <v>31</v>
      </c>
      <c r="K473" t="s">
        <v>1710</v>
      </c>
      <c r="L473" t="s">
        <v>56</v>
      </c>
      <c r="M473" t="s">
        <v>21</v>
      </c>
      <c r="N473">
        <v>1</v>
      </c>
      <c r="O473" t="s">
        <v>22</v>
      </c>
      <c r="P473">
        <v>4099.83</v>
      </c>
      <c r="Q473" t="s">
        <v>74</v>
      </c>
      <c r="R473" t="s">
        <v>75</v>
      </c>
      <c r="S473">
        <v>226001</v>
      </c>
      <c r="T473" t="s">
        <v>25</v>
      </c>
      <c r="U473" t="s">
        <v>44</v>
      </c>
    </row>
    <row r="474" spans="1:21" x14ac:dyDescent="0.3">
      <c r="A474">
        <v>473</v>
      </c>
      <c r="B474" t="s">
        <v>1711</v>
      </c>
      <c r="C474" t="s">
        <v>1712</v>
      </c>
      <c r="D474" t="s">
        <v>29</v>
      </c>
      <c r="E474">
        <v>31</v>
      </c>
      <c r="F474" t="str">
        <f t="shared" si="14"/>
        <v>Adult</v>
      </c>
      <c r="G474" t="s">
        <v>1512</v>
      </c>
      <c r="H474" t="str">
        <f t="shared" si="15"/>
        <v>Jun</v>
      </c>
      <c r="I474" t="s">
        <v>60</v>
      </c>
      <c r="J474" t="s">
        <v>31</v>
      </c>
      <c r="K474" t="s">
        <v>1713</v>
      </c>
      <c r="L474" t="s">
        <v>62</v>
      </c>
      <c r="M474" t="s">
        <v>21</v>
      </c>
      <c r="N474">
        <v>5</v>
      </c>
      <c r="O474" t="s">
        <v>22</v>
      </c>
      <c r="P474">
        <v>3207.21</v>
      </c>
      <c r="Q474" t="s">
        <v>23</v>
      </c>
      <c r="R474" t="s">
        <v>24</v>
      </c>
      <c r="S474">
        <v>400001</v>
      </c>
      <c r="T474" t="s">
        <v>25</v>
      </c>
      <c r="U474" t="s">
        <v>26</v>
      </c>
    </row>
    <row r="475" spans="1:21" x14ac:dyDescent="0.3">
      <c r="A475">
        <v>474</v>
      </c>
      <c r="B475" t="s">
        <v>1714</v>
      </c>
      <c r="C475" t="s">
        <v>1715</v>
      </c>
      <c r="D475" t="s">
        <v>15</v>
      </c>
      <c r="E475">
        <v>45</v>
      </c>
      <c r="F475" t="str">
        <f t="shared" si="14"/>
        <v>Adult</v>
      </c>
      <c r="G475" t="s">
        <v>1716</v>
      </c>
      <c r="H475" t="str">
        <f t="shared" si="15"/>
        <v>Jan</v>
      </c>
      <c r="I475" t="s">
        <v>48</v>
      </c>
      <c r="J475" t="s">
        <v>31</v>
      </c>
      <c r="K475" t="s">
        <v>1717</v>
      </c>
      <c r="L475" t="s">
        <v>56</v>
      </c>
      <c r="M475" t="s">
        <v>85</v>
      </c>
      <c r="N475">
        <v>2</v>
      </c>
      <c r="O475" t="s">
        <v>22</v>
      </c>
      <c r="P475">
        <v>4984.58</v>
      </c>
      <c r="Q475" t="s">
        <v>23</v>
      </c>
      <c r="R475" t="s">
        <v>24</v>
      </c>
      <c r="S475">
        <v>400001</v>
      </c>
      <c r="T475" t="s">
        <v>25</v>
      </c>
      <c r="U475" t="s">
        <v>26</v>
      </c>
    </row>
    <row r="476" spans="1:21" x14ac:dyDescent="0.3">
      <c r="A476">
        <v>475</v>
      </c>
      <c r="B476" t="s">
        <v>1718</v>
      </c>
      <c r="C476" t="s">
        <v>1719</v>
      </c>
      <c r="D476" t="s">
        <v>29</v>
      </c>
      <c r="E476">
        <v>29</v>
      </c>
      <c r="F476" t="str">
        <f t="shared" si="14"/>
        <v>Teenager</v>
      </c>
      <c r="G476" t="s">
        <v>639</v>
      </c>
      <c r="H476" t="str">
        <f t="shared" si="15"/>
        <v>Jul</v>
      </c>
      <c r="I476" t="s">
        <v>70</v>
      </c>
      <c r="J476" t="s">
        <v>31</v>
      </c>
      <c r="K476" t="s">
        <v>1720</v>
      </c>
      <c r="L476" t="s">
        <v>20</v>
      </c>
      <c r="M476" t="s">
        <v>34</v>
      </c>
      <c r="N476">
        <v>1</v>
      </c>
      <c r="O476" t="s">
        <v>22</v>
      </c>
      <c r="P476">
        <v>4908.6000000000004</v>
      </c>
      <c r="Q476" t="s">
        <v>23</v>
      </c>
      <c r="R476" t="s">
        <v>24</v>
      </c>
      <c r="S476">
        <v>400001</v>
      </c>
      <c r="T476" t="s">
        <v>25</v>
      </c>
      <c r="U476" t="s">
        <v>44</v>
      </c>
    </row>
    <row r="477" spans="1:21" x14ac:dyDescent="0.3">
      <c r="A477">
        <v>476</v>
      </c>
      <c r="B477" t="s">
        <v>1721</v>
      </c>
      <c r="C477" t="s">
        <v>1722</v>
      </c>
      <c r="D477" t="s">
        <v>15</v>
      </c>
      <c r="E477">
        <v>57</v>
      </c>
      <c r="F477" t="str">
        <f t="shared" si="14"/>
        <v>Senior</v>
      </c>
      <c r="G477" t="s">
        <v>920</v>
      </c>
      <c r="H477" t="str">
        <f t="shared" si="15"/>
        <v>Feb</v>
      </c>
      <c r="I477" t="s">
        <v>60</v>
      </c>
      <c r="J477" t="s">
        <v>31</v>
      </c>
      <c r="K477" t="s">
        <v>1723</v>
      </c>
      <c r="L477" t="s">
        <v>62</v>
      </c>
      <c r="M477" t="s">
        <v>21</v>
      </c>
      <c r="N477">
        <v>2</v>
      </c>
      <c r="O477" t="s">
        <v>22</v>
      </c>
      <c r="P477">
        <v>2299.15</v>
      </c>
      <c r="Q477" t="s">
        <v>51</v>
      </c>
      <c r="R477" t="s">
        <v>51</v>
      </c>
      <c r="S477">
        <v>110001</v>
      </c>
      <c r="T477" t="s">
        <v>25</v>
      </c>
      <c r="U477" t="s">
        <v>44</v>
      </c>
    </row>
    <row r="478" spans="1:21" x14ac:dyDescent="0.3">
      <c r="A478">
        <v>477</v>
      </c>
      <c r="B478" t="s">
        <v>1724</v>
      </c>
      <c r="C478" t="s">
        <v>1220</v>
      </c>
      <c r="D478" t="s">
        <v>15</v>
      </c>
      <c r="E478">
        <v>24</v>
      </c>
      <c r="F478" t="str">
        <f t="shared" si="14"/>
        <v>Teenager</v>
      </c>
      <c r="G478" t="s">
        <v>576</v>
      </c>
      <c r="H478" t="str">
        <f t="shared" si="15"/>
        <v>Jan</v>
      </c>
      <c r="I478" t="s">
        <v>17</v>
      </c>
      <c r="J478" t="s">
        <v>31</v>
      </c>
      <c r="K478" t="s">
        <v>1725</v>
      </c>
      <c r="L478" t="s">
        <v>62</v>
      </c>
      <c r="M478" t="s">
        <v>85</v>
      </c>
      <c r="N478">
        <v>2</v>
      </c>
      <c r="O478" t="s">
        <v>22</v>
      </c>
      <c r="P478">
        <v>3062.1</v>
      </c>
      <c r="Q478" t="s">
        <v>42</v>
      </c>
      <c r="R478" t="s">
        <v>43</v>
      </c>
      <c r="S478">
        <v>302001</v>
      </c>
      <c r="T478" t="s">
        <v>25</v>
      </c>
      <c r="U478" t="s">
        <v>44</v>
      </c>
    </row>
    <row r="479" spans="1:21" x14ac:dyDescent="0.3">
      <c r="A479">
        <v>478</v>
      </c>
      <c r="B479" t="s">
        <v>1726</v>
      </c>
      <c r="C479" t="s">
        <v>1727</v>
      </c>
      <c r="D479" t="s">
        <v>15</v>
      </c>
      <c r="E479">
        <v>28</v>
      </c>
      <c r="F479" t="str">
        <f t="shared" si="14"/>
        <v>Teenager</v>
      </c>
      <c r="G479" t="s">
        <v>266</v>
      </c>
      <c r="H479" t="str">
        <f t="shared" si="15"/>
        <v>May</v>
      </c>
      <c r="I479" t="s">
        <v>48</v>
      </c>
      <c r="J479" t="s">
        <v>31</v>
      </c>
      <c r="K479" t="s">
        <v>1728</v>
      </c>
      <c r="L479" t="s">
        <v>33</v>
      </c>
      <c r="M479" t="s">
        <v>50</v>
      </c>
      <c r="N479">
        <v>1</v>
      </c>
      <c r="O479" t="s">
        <v>22</v>
      </c>
      <c r="P479">
        <v>1389.24</v>
      </c>
      <c r="Q479" t="s">
        <v>23</v>
      </c>
      <c r="R479" t="s">
        <v>24</v>
      </c>
      <c r="S479">
        <v>400001</v>
      </c>
      <c r="T479" t="s">
        <v>25</v>
      </c>
      <c r="U479" t="s">
        <v>26</v>
      </c>
    </row>
    <row r="480" spans="1:21" x14ac:dyDescent="0.3">
      <c r="A480">
        <v>479</v>
      </c>
      <c r="B480" t="s">
        <v>1729</v>
      </c>
      <c r="C480" t="s">
        <v>1730</v>
      </c>
      <c r="D480" t="s">
        <v>15</v>
      </c>
      <c r="E480">
        <v>56</v>
      </c>
      <c r="F480" t="str">
        <f t="shared" si="14"/>
        <v>Senior</v>
      </c>
      <c r="G480" t="s">
        <v>1431</v>
      </c>
      <c r="H480" t="str">
        <f t="shared" si="15"/>
        <v>Jul</v>
      </c>
      <c r="I480" t="s">
        <v>70</v>
      </c>
      <c r="J480" t="s">
        <v>31</v>
      </c>
      <c r="K480" t="s">
        <v>1731</v>
      </c>
      <c r="L480" t="s">
        <v>20</v>
      </c>
      <c r="M480" t="s">
        <v>21</v>
      </c>
      <c r="N480">
        <v>4</v>
      </c>
      <c r="O480" t="s">
        <v>22</v>
      </c>
      <c r="P480">
        <v>753.67</v>
      </c>
      <c r="Q480" t="s">
        <v>35</v>
      </c>
      <c r="R480" t="s">
        <v>36</v>
      </c>
      <c r="S480">
        <v>560001</v>
      </c>
      <c r="T480" t="s">
        <v>25</v>
      </c>
      <c r="U480" t="s">
        <v>26</v>
      </c>
    </row>
    <row r="481" spans="1:21" x14ac:dyDescent="0.3">
      <c r="A481">
        <v>480</v>
      </c>
      <c r="B481" t="s">
        <v>1732</v>
      </c>
      <c r="C481" t="s">
        <v>1733</v>
      </c>
      <c r="D481" t="s">
        <v>15</v>
      </c>
      <c r="E481">
        <v>54</v>
      </c>
      <c r="F481" t="str">
        <f t="shared" si="14"/>
        <v>Senior</v>
      </c>
      <c r="G481" t="s">
        <v>1193</v>
      </c>
      <c r="H481" t="str">
        <f t="shared" si="15"/>
        <v>Dec</v>
      </c>
      <c r="I481" t="s">
        <v>60</v>
      </c>
      <c r="J481" t="s">
        <v>79</v>
      </c>
      <c r="K481" t="s">
        <v>1734</v>
      </c>
      <c r="L481" t="s">
        <v>20</v>
      </c>
      <c r="M481" t="s">
        <v>50</v>
      </c>
      <c r="N481">
        <v>1</v>
      </c>
      <c r="O481" t="s">
        <v>22</v>
      </c>
      <c r="P481">
        <v>3054.63</v>
      </c>
      <c r="Q481" t="s">
        <v>74</v>
      </c>
      <c r="R481" t="s">
        <v>75</v>
      </c>
      <c r="S481">
        <v>226001</v>
      </c>
      <c r="T481" t="s">
        <v>25</v>
      </c>
      <c r="U481" t="s">
        <v>44</v>
      </c>
    </row>
    <row r="482" spans="1:21" x14ac:dyDescent="0.3">
      <c r="A482">
        <v>481</v>
      </c>
      <c r="B482" t="s">
        <v>1735</v>
      </c>
      <c r="C482" t="s">
        <v>1736</v>
      </c>
      <c r="D482" t="s">
        <v>15</v>
      </c>
      <c r="E482">
        <v>45</v>
      </c>
      <c r="F482" t="str">
        <f t="shared" si="14"/>
        <v>Adult</v>
      </c>
      <c r="G482" t="s">
        <v>234</v>
      </c>
      <c r="H482" t="str">
        <f t="shared" si="15"/>
        <v>Aug</v>
      </c>
      <c r="I482" t="s">
        <v>17</v>
      </c>
      <c r="J482" t="s">
        <v>71</v>
      </c>
      <c r="K482" t="s">
        <v>1737</v>
      </c>
      <c r="L482" t="s">
        <v>62</v>
      </c>
      <c r="M482" t="s">
        <v>85</v>
      </c>
      <c r="N482">
        <v>2</v>
      </c>
      <c r="O482" t="s">
        <v>22</v>
      </c>
      <c r="P482">
        <v>3635.11</v>
      </c>
      <c r="Q482" t="s">
        <v>51</v>
      </c>
      <c r="R482" t="s">
        <v>51</v>
      </c>
      <c r="S482">
        <v>110001</v>
      </c>
      <c r="T482" t="s">
        <v>25</v>
      </c>
      <c r="U482" t="s">
        <v>26</v>
      </c>
    </row>
    <row r="483" spans="1:21" x14ac:dyDescent="0.3">
      <c r="A483">
        <v>482</v>
      </c>
      <c r="B483" t="s">
        <v>1738</v>
      </c>
      <c r="C483" t="s">
        <v>1739</v>
      </c>
      <c r="D483" t="s">
        <v>15</v>
      </c>
      <c r="E483">
        <v>38</v>
      </c>
      <c r="F483" t="str">
        <f t="shared" si="14"/>
        <v>Adult</v>
      </c>
      <c r="G483" t="s">
        <v>1512</v>
      </c>
      <c r="H483" t="str">
        <f t="shared" si="15"/>
        <v>Jun</v>
      </c>
      <c r="I483" t="s">
        <v>17</v>
      </c>
      <c r="J483" t="s">
        <v>71</v>
      </c>
      <c r="K483" t="s">
        <v>1740</v>
      </c>
      <c r="L483" t="s">
        <v>107</v>
      </c>
      <c r="M483" t="s">
        <v>85</v>
      </c>
      <c r="N483">
        <v>5</v>
      </c>
      <c r="O483" t="s">
        <v>22</v>
      </c>
      <c r="P483">
        <v>4995.47</v>
      </c>
      <c r="Q483" t="s">
        <v>35</v>
      </c>
      <c r="R483" t="s">
        <v>36</v>
      </c>
      <c r="S483">
        <v>560001</v>
      </c>
      <c r="T483" t="s">
        <v>25</v>
      </c>
      <c r="U483" t="s">
        <v>44</v>
      </c>
    </row>
    <row r="484" spans="1:21" x14ac:dyDescent="0.3">
      <c r="A484">
        <v>483</v>
      </c>
      <c r="B484" t="s">
        <v>1741</v>
      </c>
      <c r="C484" t="s">
        <v>1742</v>
      </c>
      <c r="D484" t="s">
        <v>15</v>
      </c>
      <c r="E484">
        <v>49</v>
      </c>
      <c r="F484" t="str">
        <f t="shared" si="14"/>
        <v>Adult</v>
      </c>
      <c r="G484" t="s">
        <v>419</v>
      </c>
      <c r="H484" t="str">
        <f t="shared" si="15"/>
        <v>Jun</v>
      </c>
      <c r="I484" t="s">
        <v>70</v>
      </c>
      <c r="J484" t="s">
        <v>18</v>
      </c>
      <c r="K484" t="s">
        <v>1743</v>
      </c>
      <c r="L484" t="s">
        <v>20</v>
      </c>
      <c r="M484" t="s">
        <v>85</v>
      </c>
      <c r="N484">
        <v>3</v>
      </c>
      <c r="O484" t="s">
        <v>22</v>
      </c>
      <c r="P484">
        <v>3696.79</v>
      </c>
      <c r="Q484" t="s">
        <v>74</v>
      </c>
      <c r="R484" t="s">
        <v>75</v>
      </c>
      <c r="S484">
        <v>226001</v>
      </c>
      <c r="T484" t="s">
        <v>25</v>
      </c>
      <c r="U484" t="s">
        <v>44</v>
      </c>
    </row>
    <row r="485" spans="1:21" x14ac:dyDescent="0.3">
      <c r="A485">
        <v>484</v>
      </c>
      <c r="B485" t="s">
        <v>1744</v>
      </c>
      <c r="C485" t="s">
        <v>1745</v>
      </c>
      <c r="D485" t="s">
        <v>15</v>
      </c>
      <c r="E485">
        <v>30</v>
      </c>
      <c r="F485" t="str">
        <f t="shared" si="14"/>
        <v>Adult</v>
      </c>
      <c r="G485" t="s">
        <v>603</v>
      </c>
      <c r="H485" t="str">
        <f t="shared" si="15"/>
        <v>Jun</v>
      </c>
      <c r="I485" t="s">
        <v>60</v>
      </c>
      <c r="J485" t="s">
        <v>18</v>
      </c>
      <c r="K485" t="s">
        <v>1746</v>
      </c>
      <c r="L485" t="s">
        <v>33</v>
      </c>
      <c r="M485" t="s">
        <v>85</v>
      </c>
      <c r="N485">
        <v>5</v>
      </c>
      <c r="O485" t="s">
        <v>22</v>
      </c>
      <c r="P485">
        <v>4149.03</v>
      </c>
      <c r="Q485" t="s">
        <v>35</v>
      </c>
      <c r="R485" t="s">
        <v>36</v>
      </c>
      <c r="S485">
        <v>560001</v>
      </c>
      <c r="T485" t="s">
        <v>25</v>
      </c>
      <c r="U485" t="s">
        <v>26</v>
      </c>
    </row>
    <row r="486" spans="1:21" x14ac:dyDescent="0.3">
      <c r="A486">
        <v>485</v>
      </c>
      <c r="B486" t="s">
        <v>1747</v>
      </c>
      <c r="C486" t="s">
        <v>1748</v>
      </c>
      <c r="D486" t="s">
        <v>15</v>
      </c>
      <c r="E486">
        <v>46</v>
      </c>
      <c r="F486" t="str">
        <f t="shared" si="14"/>
        <v>Adult</v>
      </c>
      <c r="G486" t="s">
        <v>1749</v>
      </c>
      <c r="H486" t="str">
        <f t="shared" si="15"/>
        <v>Jan</v>
      </c>
      <c r="I486" t="s">
        <v>17</v>
      </c>
      <c r="J486" t="s">
        <v>40</v>
      </c>
      <c r="K486" t="s">
        <v>1750</v>
      </c>
      <c r="L486" t="s">
        <v>62</v>
      </c>
      <c r="M486" t="s">
        <v>50</v>
      </c>
      <c r="N486">
        <v>3</v>
      </c>
      <c r="O486" t="s">
        <v>22</v>
      </c>
      <c r="P486">
        <v>2943.5</v>
      </c>
      <c r="Q486" t="s">
        <v>23</v>
      </c>
      <c r="R486" t="s">
        <v>24</v>
      </c>
      <c r="S486">
        <v>400001</v>
      </c>
      <c r="T486" t="s">
        <v>25</v>
      </c>
      <c r="U486" t="s">
        <v>44</v>
      </c>
    </row>
    <row r="487" spans="1:21" x14ac:dyDescent="0.3">
      <c r="A487">
        <v>486</v>
      </c>
      <c r="B487" t="s">
        <v>1751</v>
      </c>
      <c r="C487" t="s">
        <v>1752</v>
      </c>
      <c r="D487" t="s">
        <v>15</v>
      </c>
      <c r="E487">
        <v>35</v>
      </c>
      <c r="F487" t="str">
        <f t="shared" si="14"/>
        <v>Adult</v>
      </c>
      <c r="G487" t="s">
        <v>1091</v>
      </c>
      <c r="H487" t="str">
        <f t="shared" si="15"/>
        <v>Aug</v>
      </c>
      <c r="I487" t="s">
        <v>70</v>
      </c>
      <c r="J487" t="s">
        <v>40</v>
      </c>
      <c r="K487" t="s">
        <v>1753</v>
      </c>
      <c r="L487" t="s">
        <v>62</v>
      </c>
      <c r="M487" t="s">
        <v>85</v>
      </c>
      <c r="N487">
        <v>3</v>
      </c>
      <c r="O487" t="s">
        <v>22</v>
      </c>
      <c r="P487">
        <v>1135.45</v>
      </c>
      <c r="Q487" t="s">
        <v>74</v>
      </c>
      <c r="R487" t="s">
        <v>75</v>
      </c>
      <c r="S487">
        <v>226001</v>
      </c>
      <c r="T487" t="s">
        <v>25</v>
      </c>
      <c r="U487" t="s">
        <v>44</v>
      </c>
    </row>
    <row r="488" spans="1:21" x14ac:dyDescent="0.3">
      <c r="A488">
        <v>487</v>
      </c>
      <c r="B488" t="s">
        <v>1754</v>
      </c>
      <c r="C488" t="s">
        <v>1755</v>
      </c>
      <c r="D488" t="s">
        <v>15</v>
      </c>
      <c r="E488">
        <v>39</v>
      </c>
      <c r="F488" t="str">
        <f t="shared" si="14"/>
        <v>Adult</v>
      </c>
      <c r="G488" t="s">
        <v>226</v>
      </c>
      <c r="H488" t="str">
        <f t="shared" si="15"/>
        <v>Jul</v>
      </c>
      <c r="I488" t="s">
        <v>70</v>
      </c>
      <c r="J488" t="s">
        <v>40</v>
      </c>
      <c r="K488" t="s">
        <v>1756</v>
      </c>
      <c r="L488" t="s">
        <v>33</v>
      </c>
      <c r="M488" t="s">
        <v>50</v>
      </c>
      <c r="N488">
        <v>4</v>
      </c>
      <c r="O488" t="s">
        <v>22</v>
      </c>
      <c r="P488">
        <v>904.06</v>
      </c>
      <c r="Q488" t="s">
        <v>42</v>
      </c>
      <c r="R488" t="s">
        <v>43</v>
      </c>
      <c r="S488">
        <v>302001</v>
      </c>
      <c r="T488" t="s">
        <v>25</v>
      </c>
      <c r="U488" t="s">
        <v>44</v>
      </c>
    </row>
    <row r="489" spans="1:21" x14ac:dyDescent="0.3">
      <c r="A489">
        <v>488</v>
      </c>
      <c r="B489" t="s">
        <v>1757</v>
      </c>
      <c r="C489" t="s">
        <v>1758</v>
      </c>
      <c r="D489" t="s">
        <v>15</v>
      </c>
      <c r="E489">
        <v>23</v>
      </c>
      <c r="F489" t="str">
        <f t="shared" si="14"/>
        <v>Teenager</v>
      </c>
      <c r="G489" t="s">
        <v>1555</v>
      </c>
      <c r="H489" t="str">
        <f t="shared" si="15"/>
        <v>Sep</v>
      </c>
      <c r="I489" t="s">
        <v>17</v>
      </c>
      <c r="J489" t="s">
        <v>40</v>
      </c>
      <c r="K489" t="s">
        <v>1759</v>
      </c>
      <c r="L489" t="s">
        <v>62</v>
      </c>
      <c r="M489" t="s">
        <v>85</v>
      </c>
      <c r="N489">
        <v>2</v>
      </c>
      <c r="O489" t="s">
        <v>22</v>
      </c>
      <c r="P489">
        <v>4343.24</v>
      </c>
      <c r="Q489" t="s">
        <v>51</v>
      </c>
      <c r="R489" t="s">
        <v>51</v>
      </c>
      <c r="S489">
        <v>110001</v>
      </c>
      <c r="T489" t="s">
        <v>25</v>
      </c>
      <c r="U489" t="s">
        <v>26</v>
      </c>
    </row>
    <row r="490" spans="1:21" x14ac:dyDescent="0.3">
      <c r="A490">
        <v>489</v>
      </c>
      <c r="B490" t="s">
        <v>1760</v>
      </c>
      <c r="C490" t="s">
        <v>1761</v>
      </c>
      <c r="D490" t="s">
        <v>15</v>
      </c>
      <c r="E490">
        <v>38</v>
      </c>
      <c r="F490" t="str">
        <f t="shared" si="14"/>
        <v>Adult</v>
      </c>
      <c r="G490" t="s">
        <v>1095</v>
      </c>
      <c r="H490" t="str">
        <f t="shared" si="15"/>
        <v>Sep</v>
      </c>
      <c r="I490" t="s">
        <v>70</v>
      </c>
      <c r="J490" t="s">
        <v>40</v>
      </c>
      <c r="K490" t="s">
        <v>1762</v>
      </c>
      <c r="L490" t="s">
        <v>20</v>
      </c>
      <c r="M490" t="s">
        <v>34</v>
      </c>
      <c r="N490">
        <v>3</v>
      </c>
      <c r="O490" t="s">
        <v>22</v>
      </c>
      <c r="P490">
        <v>4948.7700000000004</v>
      </c>
      <c r="Q490" t="s">
        <v>74</v>
      </c>
      <c r="R490" t="s">
        <v>51</v>
      </c>
      <c r="S490">
        <v>226001</v>
      </c>
      <c r="T490" t="s">
        <v>25</v>
      </c>
      <c r="U490" t="s">
        <v>26</v>
      </c>
    </row>
    <row r="491" spans="1:21" x14ac:dyDescent="0.3">
      <c r="A491">
        <v>490</v>
      </c>
      <c r="B491" t="s">
        <v>1763</v>
      </c>
      <c r="C491" t="s">
        <v>1764</v>
      </c>
      <c r="D491" t="s">
        <v>15</v>
      </c>
      <c r="E491">
        <v>49</v>
      </c>
      <c r="F491" t="str">
        <f t="shared" si="14"/>
        <v>Adult</v>
      </c>
      <c r="G491" t="s">
        <v>1765</v>
      </c>
      <c r="H491" t="str">
        <f t="shared" si="15"/>
        <v>Oct</v>
      </c>
      <c r="I491" t="s">
        <v>48</v>
      </c>
      <c r="J491" t="s">
        <v>40</v>
      </c>
      <c r="K491" t="s">
        <v>1766</v>
      </c>
      <c r="L491" t="s">
        <v>62</v>
      </c>
      <c r="M491" t="s">
        <v>21</v>
      </c>
      <c r="N491">
        <v>2</v>
      </c>
      <c r="O491" t="s">
        <v>22</v>
      </c>
      <c r="P491">
        <v>965.48</v>
      </c>
      <c r="Q491" t="s">
        <v>74</v>
      </c>
      <c r="R491" t="s">
        <v>51</v>
      </c>
      <c r="S491">
        <v>226001</v>
      </c>
      <c r="T491" t="s">
        <v>25</v>
      </c>
      <c r="U491" t="s">
        <v>26</v>
      </c>
    </row>
    <row r="492" spans="1:21" x14ac:dyDescent="0.3">
      <c r="A492">
        <v>491</v>
      </c>
      <c r="B492" t="s">
        <v>1767</v>
      </c>
      <c r="C492" t="s">
        <v>1768</v>
      </c>
      <c r="D492" t="s">
        <v>15</v>
      </c>
      <c r="E492">
        <v>34</v>
      </c>
      <c r="F492" t="str">
        <f t="shared" si="14"/>
        <v>Adult</v>
      </c>
      <c r="G492" t="s">
        <v>404</v>
      </c>
      <c r="H492" t="str">
        <f t="shared" si="15"/>
        <v>Feb</v>
      </c>
      <c r="I492" t="s">
        <v>48</v>
      </c>
      <c r="J492" t="s">
        <v>40</v>
      </c>
      <c r="K492" t="s">
        <v>1769</v>
      </c>
      <c r="L492" t="s">
        <v>56</v>
      </c>
      <c r="M492" t="s">
        <v>50</v>
      </c>
      <c r="N492">
        <v>1</v>
      </c>
      <c r="O492" t="s">
        <v>22</v>
      </c>
      <c r="P492">
        <v>3856.37</v>
      </c>
      <c r="Q492" t="s">
        <v>74</v>
      </c>
      <c r="R492" t="s">
        <v>51</v>
      </c>
      <c r="S492">
        <v>226001</v>
      </c>
      <c r="T492" t="s">
        <v>25</v>
      </c>
      <c r="U492" t="s">
        <v>26</v>
      </c>
    </row>
    <row r="493" spans="1:21" x14ac:dyDescent="0.3">
      <c r="A493">
        <v>492</v>
      </c>
      <c r="B493" t="s">
        <v>1770</v>
      </c>
      <c r="C493" t="s">
        <v>1771</v>
      </c>
      <c r="D493" t="s">
        <v>15</v>
      </c>
      <c r="E493">
        <v>23</v>
      </c>
      <c r="F493" t="str">
        <f t="shared" si="14"/>
        <v>Teenager</v>
      </c>
      <c r="G493" t="s">
        <v>304</v>
      </c>
      <c r="H493" t="str">
        <f t="shared" si="15"/>
        <v>Jun</v>
      </c>
      <c r="I493" t="s">
        <v>48</v>
      </c>
      <c r="J493" t="s">
        <v>40</v>
      </c>
      <c r="K493" t="s">
        <v>1772</v>
      </c>
      <c r="L493" t="s">
        <v>33</v>
      </c>
      <c r="M493" t="s">
        <v>85</v>
      </c>
      <c r="N493">
        <v>3</v>
      </c>
      <c r="O493" t="s">
        <v>22</v>
      </c>
      <c r="P493">
        <v>3648.74</v>
      </c>
      <c r="Q493" t="s">
        <v>23</v>
      </c>
      <c r="R493" t="s">
        <v>24</v>
      </c>
      <c r="S493">
        <v>400001</v>
      </c>
      <c r="T493" t="s">
        <v>25</v>
      </c>
      <c r="U493" t="s">
        <v>44</v>
      </c>
    </row>
    <row r="494" spans="1:21" x14ac:dyDescent="0.3">
      <c r="A494">
        <v>493</v>
      </c>
      <c r="B494" t="s">
        <v>1773</v>
      </c>
      <c r="C494" t="s">
        <v>1774</v>
      </c>
      <c r="D494" t="s">
        <v>15</v>
      </c>
      <c r="E494">
        <v>60</v>
      </c>
      <c r="F494" t="str">
        <f t="shared" si="14"/>
        <v>Senior</v>
      </c>
      <c r="G494" t="s">
        <v>1775</v>
      </c>
      <c r="H494" t="str">
        <f t="shared" si="15"/>
        <v>Mar</v>
      </c>
      <c r="I494" t="s">
        <v>17</v>
      </c>
      <c r="J494" t="s">
        <v>40</v>
      </c>
      <c r="K494" t="s">
        <v>1776</v>
      </c>
      <c r="L494" t="s">
        <v>33</v>
      </c>
      <c r="M494" t="s">
        <v>34</v>
      </c>
      <c r="N494">
        <v>4</v>
      </c>
      <c r="O494" t="s">
        <v>22</v>
      </c>
      <c r="P494">
        <v>448.33</v>
      </c>
      <c r="Q494" t="s">
        <v>35</v>
      </c>
      <c r="R494" t="s">
        <v>36</v>
      </c>
      <c r="S494">
        <v>560001</v>
      </c>
      <c r="T494" t="s">
        <v>25</v>
      </c>
      <c r="U494" t="s">
        <v>44</v>
      </c>
    </row>
    <row r="495" spans="1:21" x14ac:dyDescent="0.3">
      <c r="A495">
        <v>494</v>
      </c>
      <c r="B495" t="s">
        <v>1777</v>
      </c>
      <c r="C495" t="s">
        <v>1778</v>
      </c>
      <c r="D495" t="s">
        <v>15</v>
      </c>
      <c r="E495">
        <v>35</v>
      </c>
      <c r="F495" t="str">
        <f t="shared" si="14"/>
        <v>Adult</v>
      </c>
      <c r="G495" t="s">
        <v>250</v>
      </c>
      <c r="H495" t="str">
        <f t="shared" si="15"/>
        <v>Nov</v>
      </c>
      <c r="I495" t="s">
        <v>70</v>
      </c>
      <c r="J495" t="s">
        <v>40</v>
      </c>
      <c r="K495" t="s">
        <v>1779</v>
      </c>
      <c r="L495" t="s">
        <v>73</v>
      </c>
      <c r="M495" t="s">
        <v>50</v>
      </c>
      <c r="N495">
        <v>5</v>
      </c>
      <c r="O495" t="s">
        <v>22</v>
      </c>
      <c r="P495">
        <v>4282.5600000000004</v>
      </c>
      <c r="Q495" t="s">
        <v>23</v>
      </c>
      <c r="R495" t="s">
        <v>24</v>
      </c>
      <c r="S495">
        <v>400001</v>
      </c>
      <c r="T495" t="s">
        <v>25</v>
      </c>
      <c r="U495" t="s">
        <v>44</v>
      </c>
    </row>
    <row r="496" spans="1:21" x14ac:dyDescent="0.3">
      <c r="A496">
        <v>495</v>
      </c>
      <c r="B496" t="s">
        <v>1780</v>
      </c>
      <c r="C496" t="s">
        <v>1781</v>
      </c>
      <c r="D496" t="s">
        <v>15</v>
      </c>
      <c r="E496">
        <v>32</v>
      </c>
      <c r="F496" t="str">
        <f t="shared" si="14"/>
        <v>Adult</v>
      </c>
      <c r="G496" t="s">
        <v>864</v>
      </c>
      <c r="H496" t="str">
        <f t="shared" si="15"/>
        <v>May</v>
      </c>
      <c r="I496" t="s">
        <v>70</v>
      </c>
      <c r="J496" t="s">
        <v>40</v>
      </c>
      <c r="K496" t="s">
        <v>1782</v>
      </c>
      <c r="L496" t="s">
        <v>56</v>
      </c>
      <c r="M496" t="s">
        <v>34</v>
      </c>
      <c r="N496">
        <v>3</v>
      </c>
      <c r="O496" t="s">
        <v>22</v>
      </c>
      <c r="P496">
        <v>2245.11</v>
      </c>
      <c r="Q496" t="s">
        <v>74</v>
      </c>
      <c r="R496" t="s">
        <v>75</v>
      </c>
      <c r="S496">
        <v>226001</v>
      </c>
      <c r="T496" t="s">
        <v>25</v>
      </c>
      <c r="U496" t="s">
        <v>26</v>
      </c>
    </row>
    <row r="497" spans="1:21" x14ac:dyDescent="0.3">
      <c r="A497">
        <v>496</v>
      </c>
      <c r="B497" t="s">
        <v>1783</v>
      </c>
      <c r="C497" t="s">
        <v>1784</v>
      </c>
      <c r="D497" t="s">
        <v>15</v>
      </c>
      <c r="E497">
        <v>56</v>
      </c>
      <c r="F497" t="str">
        <f t="shared" si="14"/>
        <v>Senior</v>
      </c>
      <c r="G497" t="s">
        <v>1785</v>
      </c>
      <c r="H497" t="str">
        <f t="shared" si="15"/>
        <v>Feb</v>
      </c>
      <c r="I497" t="s">
        <v>70</v>
      </c>
      <c r="J497" t="s">
        <v>40</v>
      </c>
      <c r="K497" t="s">
        <v>1786</v>
      </c>
      <c r="L497" t="s">
        <v>62</v>
      </c>
      <c r="M497" t="s">
        <v>85</v>
      </c>
      <c r="N497">
        <v>4</v>
      </c>
      <c r="O497" t="s">
        <v>22</v>
      </c>
      <c r="P497">
        <v>4419.9399999999996</v>
      </c>
      <c r="Q497" t="s">
        <v>35</v>
      </c>
      <c r="R497" t="s">
        <v>36</v>
      </c>
      <c r="S497">
        <v>560001</v>
      </c>
      <c r="T497" t="s">
        <v>25</v>
      </c>
      <c r="U497" t="s">
        <v>44</v>
      </c>
    </row>
    <row r="498" spans="1:21" x14ac:dyDescent="0.3">
      <c r="A498">
        <v>497</v>
      </c>
      <c r="B498" t="s">
        <v>1787</v>
      </c>
      <c r="C498" t="s">
        <v>1788</v>
      </c>
      <c r="D498" t="s">
        <v>29</v>
      </c>
      <c r="E498">
        <v>34</v>
      </c>
      <c r="F498" t="str">
        <f t="shared" si="14"/>
        <v>Adult</v>
      </c>
      <c r="G498" t="s">
        <v>557</v>
      </c>
      <c r="H498" t="str">
        <f t="shared" si="15"/>
        <v>Oct</v>
      </c>
      <c r="I498" t="s">
        <v>60</v>
      </c>
      <c r="J498" t="s">
        <v>40</v>
      </c>
      <c r="K498" t="s">
        <v>1789</v>
      </c>
      <c r="L498" t="s">
        <v>62</v>
      </c>
      <c r="M498" t="s">
        <v>21</v>
      </c>
      <c r="N498">
        <v>5</v>
      </c>
      <c r="O498" t="s">
        <v>22</v>
      </c>
      <c r="P498">
        <v>4730.3599999999997</v>
      </c>
      <c r="Q498" t="s">
        <v>35</v>
      </c>
      <c r="R498" t="s">
        <v>36</v>
      </c>
      <c r="S498">
        <v>560001</v>
      </c>
      <c r="T498" t="s">
        <v>25</v>
      </c>
      <c r="U498" t="s">
        <v>26</v>
      </c>
    </row>
    <row r="499" spans="1:21" x14ac:dyDescent="0.3">
      <c r="A499">
        <v>498</v>
      </c>
      <c r="B499" t="s">
        <v>1790</v>
      </c>
      <c r="C499" t="s">
        <v>1791</v>
      </c>
      <c r="D499" t="s">
        <v>15</v>
      </c>
      <c r="E499">
        <v>19</v>
      </c>
      <c r="F499" t="str">
        <f t="shared" si="14"/>
        <v>Teenager</v>
      </c>
      <c r="G499" t="s">
        <v>457</v>
      </c>
      <c r="H499" t="str">
        <f t="shared" si="15"/>
        <v>Oct</v>
      </c>
      <c r="I499" t="s">
        <v>17</v>
      </c>
      <c r="J499" t="s">
        <v>40</v>
      </c>
      <c r="K499" t="s">
        <v>1792</v>
      </c>
      <c r="L499" t="s">
        <v>73</v>
      </c>
      <c r="M499" t="s">
        <v>85</v>
      </c>
      <c r="N499">
        <v>4</v>
      </c>
      <c r="O499" t="s">
        <v>22</v>
      </c>
      <c r="P499">
        <v>2410.7199999999998</v>
      </c>
      <c r="Q499" t="s">
        <v>74</v>
      </c>
      <c r="R499" t="s">
        <v>75</v>
      </c>
      <c r="S499">
        <v>226001</v>
      </c>
      <c r="T499" t="s">
        <v>25</v>
      </c>
      <c r="U499" t="s">
        <v>44</v>
      </c>
    </row>
    <row r="500" spans="1:21" x14ac:dyDescent="0.3">
      <c r="A500">
        <v>499</v>
      </c>
      <c r="B500" t="s">
        <v>1793</v>
      </c>
      <c r="C500" t="s">
        <v>1794</v>
      </c>
      <c r="D500" t="s">
        <v>15</v>
      </c>
      <c r="E500">
        <v>59</v>
      </c>
      <c r="F500" t="str">
        <f t="shared" si="14"/>
        <v>Senior</v>
      </c>
      <c r="G500" t="s">
        <v>504</v>
      </c>
      <c r="H500" t="str">
        <f t="shared" si="15"/>
        <v>Jun</v>
      </c>
      <c r="I500" t="s">
        <v>48</v>
      </c>
      <c r="J500" t="s">
        <v>40</v>
      </c>
      <c r="K500" t="s">
        <v>1795</v>
      </c>
      <c r="L500" t="s">
        <v>20</v>
      </c>
      <c r="M500" t="s">
        <v>85</v>
      </c>
      <c r="N500">
        <v>4</v>
      </c>
      <c r="O500" t="s">
        <v>22</v>
      </c>
      <c r="P500">
        <v>4226.2</v>
      </c>
      <c r="Q500" t="s">
        <v>74</v>
      </c>
      <c r="R500" t="s">
        <v>75</v>
      </c>
      <c r="S500">
        <v>226001</v>
      </c>
      <c r="T500" t="s">
        <v>25</v>
      </c>
      <c r="U500" t="s">
        <v>26</v>
      </c>
    </row>
    <row r="501" spans="1:21" x14ac:dyDescent="0.3">
      <c r="A501">
        <v>500</v>
      </c>
      <c r="B501" t="s">
        <v>1796</v>
      </c>
      <c r="C501" t="s">
        <v>1797</v>
      </c>
      <c r="D501" t="s">
        <v>29</v>
      </c>
      <c r="E501">
        <v>27</v>
      </c>
      <c r="F501" t="str">
        <f t="shared" si="14"/>
        <v>Teenager</v>
      </c>
      <c r="G501" t="s">
        <v>946</v>
      </c>
      <c r="H501" t="str">
        <f t="shared" si="15"/>
        <v>Dec</v>
      </c>
      <c r="I501" t="s">
        <v>70</v>
      </c>
      <c r="J501" t="s">
        <v>40</v>
      </c>
      <c r="K501" t="s">
        <v>1798</v>
      </c>
      <c r="L501" t="s">
        <v>107</v>
      </c>
      <c r="M501" t="s">
        <v>34</v>
      </c>
      <c r="N501">
        <v>5</v>
      </c>
      <c r="O501" t="s">
        <v>22</v>
      </c>
      <c r="P501">
        <v>4070.62</v>
      </c>
      <c r="Q501" t="s">
        <v>35</v>
      </c>
      <c r="R501" t="s">
        <v>36</v>
      </c>
      <c r="S501">
        <v>560001</v>
      </c>
      <c r="T501" t="s">
        <v>25</v>
      </c>
      <c r="U501" t="s">
        <v>44</v>
      </c>
    </row>
    <row r="502" spans="1:21" x14ac:dyDescent="0.3">
      <c r="A502">
        <v>501</v>
      </c>
      <c r="B502" t="s">
        <v>1799</v>
      </c>
      <c r="C502" t="s">
        <v>1800</v>
      </c>
      <c r="D502" t="s">
        <v>29</v>
      </c>
      <c r="E502">
        <v>44</v>
      </c>
      <c r="F502" t="str">
        <f t="shared" si="14"/>
        <v>Adult</v>
      </c>
      <c r="G502" t="s">
        <v>1024</v>
      </c>
      <c r="H502" t="str">
        <f t="shared" si="15"/>
        <v>Mar</v>
      </c>
      <c r="I502" t="s">
        <v>60</v>
      </c>
      <c r="J502" t="s">
        <v>40</v>
      </c>
      <c r="K502" t="s">
        <v>1801</v>
      </c>
      <c r="L502" t="s">
        <v>73</v>
      </c>
      <c r="M502" t="s">
        <v>21</v>
      </c>
      <c r="N502">
        <v>3</v>
      </c>
      <c r="O502" t="s">
        <v>22</v>
      </c>
      <c r="P502">
        <v>4488.12</v>
      </c>
      <c r="Q502" t="s">
        <v>74</v>
      </c>
      <c r="R502" t="s">
        <v>75</v>
      </c>
      <c r="S502">
        <v>226001</v>
      </c>
      <c r="T502" t="s">
        <v>25</v>
      </c>
      <c r="U502" t="s">
        <v>44</v>
      </c>
    </row>
    <row r="503" spans="1:21" x14ac:dyDescent="0.3">
      <c r="A503">
        <v>502</v>
      </c>
      <c r="B503" t="s">
        <v>1802</v>
      </c>
      <c r="C503" t="s">
        <v>916</v>
      </c>
      <c r="D503" t="s">
        <v>15</v>
      </c>
      <c r="E503">
        <v>59</v>
      </c>
      <c r="F503" t="str">
        <f t="shared" si="14"/>
        <v>Senior</v>
      </c>
      <c r="G503" t="s">
        <v>692</v>
      </c>
      <c r="H503" t="str">
        <f t="shared" si="15"/>
        <v>Dec</v>
      </c>
      <c r="I503" t="s">
        <v>70</v>
      </c>
      <c r="J503" t="s">
        <v>40</v>
      </c>
      <c r="K503" t="s">
        <v>1803</v>
      </c>
      <c r="L503" t="s">
        <v>20</v>
      </c>
      <c r="M503" t="s">
        <v>21</v>
      </c>
      <c r="N503">
        <v>2</v>
      </c>
      <c r="O503" t="s">
        <v>22</v>
      </c>
      <c r="P503">
        <v>3348.31</v>
      </c>
      <c r="Q503" t="s">
        <v>23</v>
      </c>
      <c r="R503" t="s">
        <v>24</v>
      </c>
      <c r="S503">
        <v>400001</v>
      </c>
      <c r="T503" t="s">
        <v>25</v>
      </c>
      <c r="U503" t="s">
        <v>44</v>
      </c>
    </row>
    <row r="504" spans="1:21" x14ac:dyDescent="0.3">
      <c r="A504">
        <v>503</v>
      </c>
      <c r="B504" t="s">
        <v>1804</v>
      </c>
      <c r="C504" t="s">
        <v>1805</v>
      </c>
      <c r="D504" t="s">
        <v>29</v>
      </c>
      <c r="E504">
        <v>22</v>
      </c>
      <c r="F504" t="str">
        <f t="shared" si="14"/>
        <v>Teenager</v>
      </c>
      <c r="G504" t="s">
        <v>1806</v>
      </c>
      <c r="H504" t="str">
        <f t="shared" si="15"/>
        <v>Feb</v>
      </c>
      <c r="I504" t="s">
        <v>70</v>
      </c>
      <c r="J504" t="s">
        <v>40</v>
      </c>
      <c r="K504" t="s">
        <v>1807</v>
      </c>
      <c r="L504" t="s">
        <v>20</v>
      </c>
      <c r="M504" t="s">
        <v>50</v>
      </c>
      <c r="N504">
        <v>2</v>
      </c>
      <c r="O504" t="s">
        <v>22</v>
      </c>
      <c r="P504">
        <v>3475.23</v>
      </c>
      <c r="Q504" t="s">
        <v>74</v>
      </c>
      <c r="R504" t="s">
        <v>75</v>
      </c>
      <c r="S504">
        <v>226001</v>
      </c>
      <c r="T504" t="s">
        <v>25</v>
      </c>
      <c r="U504" t="s">
        <v>26</v>
      </c>
    </row>
    <row r="505" spans="1:21" x14ac:dyDescent="0.3">
      <c r="A505">
        <v>504</v>
      </c>
      <c r="B505" t="s">
        <v>1808</v>
      </c>
      <c r="C505" t="s">
        <v>1809</v>
      </c>
      <c r="D505" t="s">
        <v>29</v>
      </c>
      <c r="E505">
        <v>44</v>
      </c>
      <c r="F505" t="str">
        <f t="shared" si="14"/>
        <v>Adult</v>
      </c>
      <c r="G505" t="s">
        <v>1810</v>
      </c>
      <c r="H505" t="str">
        <f t="shared" si="15"/>
        <v>Oct</v>
      </c>
      <c r="I505" t="s">
        <v>60</v>
      </c>
      <c r="J505" t="s">
        <v>40</v>
      </c>
      <c r="K505" t="s">
        <v>1811</v>
      </c>
      <c r="L505" t="s">
        <v>33</v>
      </c>
      <c r="M505" t="s">
        <v>85</v>
      </c>
      <c r="N505">
        <v>2</v>
      </c>
      <c r="O505" t="s">
        <v>22</v>
      </c>
      <c r="P505">
        <v>4530.33</v>
      </c>
      <c r="Q505" t="s">
        <v>23</v>
      </c>
      <c r="R505" t="s">
        <v>24</v>
      </c>
      <c r="S505">
        <v>400001</v>
      </c>
      <c r="T505" t="s">
        <v>25</v>
      </c>
      <c r="U505" t="s">
        <v>44</v>
      </c>
    </row>
    <row r="506" spans="1:21" x14ac:dyDescent="0.3">
      <c r="A506">
        <v>505</v>
      </c>
      <c r="B506" t="s">
        <v>1812</v>
      </c>
      <c r="C506" t="s">
        <v>1813</v>
      </c>
      <c r="D506" t="s">
        <v>29</v>
      </c>
      <c r="E506">
        <v>59</v>
      </c>
      <c r="F506" t="str">
        <f t="shared" si="14"/>
        <v>Senior</v>
      </c>
      <c r="G506" t="s">
        <v>1264</v>
      </c>
      <c r="H506" t="str">
        <f t="shared" si="15"/>
        <v>Feb</v>
      </c>
      <c r="I506" t="s">
        <v>70</v>
      </c>
      <c r="J506" t="s">
        <v>40</v>
      </c>
      <c r="K506" t="s">
        <v>1814</v>
      </c>
      <c r="L506" t="s">
        <v>107</v>
      </c>
      <c r="M506" t="s">
        <v>21</v>
      </c>
      <c r="N506">
        <v>2</v>
      </c>
      <c r="O506" t="s">
        <v>22</v>
      </c>
      <c r="P506">
        <v>3349.09</v>
      </c>
      <c r="Q506" t="s">
        <v>42</v>
      </c>
      <c r="R506" t="s">
        <v>43</v>
      </c>
      <c r="S506">
        <v>302001</v>
      </c>
      <c r="T506" t="s">
        <v>25</v>
      </c>
      <c r="U506" t="s">
        <v>44</v>
      </c>
    </row>
    <row r="507" spans="1:21" x14ac:dyDescent="0.3">
      <c r="A507">
        <v>506</v>
      </c>
      <c r="B507" t="s">
        <v>1815</v>
      </c>
      <c r="C507" t="s">
        <v>1188</v>
      </c>
      <c r="D507" t="s">
        <v>15</v>
      </c>
      <c r="E507">
        <v>57</v>
      </c>
      <c r="F507" t="str">
        <f t="shared" si="14"/>
        <v>Senior</v>
      </c>
      <c r="G507" t="s">
        <v>449</v>
      </c>
      <c r="H507" t="str">
        <f t="shared" si="15"/>
        <v>Aug</v>
      </c>
      <c r="I507" t="s">
        <v>70</v>
      </c>
      <c r="J507" t="s">
        <v>40</v>
      </c>
      <c r="K507" t="s">
        <v>1816</v>
      </c>
      <c r="L507" t="s">
        <v>62</v>
      </c>
      <c r="M507" t="s">
        <v>50</v>
      </c>
      <c r="N507">
        <v>3</v>
      </c>
      <c r="O507" t="s">
        <v>22</v>
      </c>
      <c r="P507">
        <v>1243.83</v>
      </c>
      <c r="Q507" t="s">
        <v>51</v>
      </c>
      <c r="R507" t="s">
        <v>51</v>
      </c>
      <c r="S507">
        <v>110001</v>
      </c>
      <c r="T507" t="s">
        <v>25</v>
      </c>
      <c r="U507" t="s">
        <v>26</v>
      </c>
    </row>
    <row r="508" spans="1:21" x14ac:dyDescent="0.3">
      <c r="A508">
        <v>507</v>
      </c>
      <c r="B508" t="s">
        <v>1817</v>
      </c>
      <c r="C508" t="s">
        <v>1818</v>
      </c>
      <c r="D508" t="s">
        <v>15</v>
      </c>
      <c r="E508">
        <v>42</v>
      </c>
      <c r="F508" t="str">
        <f t="shared" si="14"/>
        <v>Adult</v>
      </c>
      <c r="G508" t="s">
        <v>1819</v>
      </c>
      <c r="H508" t="str">
        <f t="shared" si="15"/>
        <v>Nov</v>
      </c>
      <c r="I508" t="s">
        <v>70</v>
      </c>
      <c r="J508" t="s">
        <v>40</v>
      </c>
      <c r="K508" t="s">
        <v>1820</v>
      </c>
      <c r="L508" t="s">
        <v>73</v>
      </c>
      <c r="M508" t="s">
        <v>85</v>
      </c>
      <c r="N508">
        <v>2</v>
      </c>
      <c r="O508" t="s">
        <v>22</v>
      </c>
      <c r="P508">
        <v>3520.54</v>
      </c>
      <c r="Q508" t="s">
        <v>35</v>
      </c>
      <c r="R508" t="s">
        <v>36</v>
      </c>
      <c r="S508">
        <v>560001</v>
      </c>
      <c r="T508" t="s">
        <v>25</v>
      </c>
      <c r="U508" t="s">
        <v>44</v>
      </c>
    </row>
    <row r="509" spans="1:21" x14ac:dyDescent="0.3">
      <c r="A509">
        <v>508</v>
      </c>
      <c r="B509" t="s">
        <v>1821</v>
      </c>
      <c r="C509" t="s">
        <v>1822</v>
      </c>
      <c r="D509" t="s">
        <v>15</v>
      </c>
      <c r="E509">
        <v>50</v>
      </c>
      <c r="F509" t="str">
        <f t="shared" si="14"/>
        <v>Senior</v>
      </c>
      <c r="G509" t="s">
        <v>262</v>
      </c>
      <c r="H509" t="str">
        <f t="shared" si="15"/>
        <v>Sep</v>
      </c>
      <c r="I509" t="s">
        <v>17</v>
      </c>
      <c r="J509" t="s">
        <v>40</v>
      </c>
      <c r="K509" t="s">
        <v>1823</v>
      </c>
      <c r="L509" t="s">
        <v>73</v>
      </c>
      <c r="M509" t="s">
        <v>85</v>
      </c>
      <c r="N509">
        <v>4</v>
      </c>
      <c r="O509" t="s">
        <v>22</v>
      </c>
      <c r="P509">
        <v>2112.29</v>
      </c>
      <c r="Q509" t="s">
        <v>74</v>
      </c>
      <c r="R509" t="s">
        <v>75</v>
      </c>
      <c r="S509">
        <v>226001</v>
      </c>
      <c r="T509" t="s">
        <v>25</v>
      </c>
      <c r="U509" t="s">
        <v>44</v>
      </c>
    </row>
    <row r="510" spans="1:21" x14ac:dyDescent="0.3">
      <c r="A510">
        <v>509</v>
      </c>
      <c r="B510" t="s">
        <v>1824</v>
      </c>
      <c r="C510" t="s">
        <v>1825</v>
      </c>
      <c r="D510" t="s">
        <v>29</v>
      </c>
      <c r="E510">
        <v>37</v>
      </c>
      <c r="F510" t="str">
        <f t="shared" si="14"/>
        <v>Adult</v>
      </c>
      <c r="G510" t="s">
        <v>684</v>
      </c>
      <c r="H510" t="str">
        <f t="shared" si="15"/>
        <v>Oct</v>
      </c>
      <c r="I510" t="s">
        <v>70</v>
      </c>
      <c r="J510" t="s">
        <v>40</v>
      </c>
      <c r="K510" t="s">
        <v>1826</v>
      </c>
      <c r="L510" t="s">
        <v>56</v>
      </c>
      <c r="M510" t="s">
        <v>34</v>
      </c>
      <c r="N510">
        <v>2</v>
      </c>
      <c r="O510" t="s">
        <v>22</v>
      </c>
      <c r="P510">
        <v>389.86</v>
      </c>
      <c r="Q510" t="s">
        <v>35</v>
      </c>
      <c r="R510" t="s">
        <v>36</v>
      </c>
      <c r="S510">
        <v>560001</v>
      </c>
      <c r="T510" t="s">
        <v>25</v>
      </c>
      <c r="U510" t="s">
        <v>44</v>
      </c>
    </row>
    <row r="511" spans="1:21" x14ac:dyDescent="0.3">
      <c r="A511">
        <v>510</v>
      </c>
      <c r="B511" t="s">
        <v>1827</v>
      </c>
      <c r="C511" t="s">
        <v>1828</v>
      </c>
      <c r="D511" t="s">
        <v>15</v>
      </c>
      <c r="E511">
        <v>52</v>
      </c>
      <c r="F511" t="str">
        <f t="shared" si="14"/>
        <v>Senior</v>
      </c>
      <c r="G511" t="s">
        <v>1829</v>
      </c>
      <c r="H511" t="str">
        <f t="shared" si="15"/>
        <v>Apr</v>
      </c>
      <c r="I511" t="s">
        <v>48</v>
      </c>
      <c r="J511" t="s">
        <v>40</v>
      </c>
      <c r="K511" t="s">
        <v>1830</v>
      </c>
      <c r="L511" t="s">
        <v>56</v>
      </c>
      <c r="M511" t="s">
        <v>34</v>
      </c>
      <c r="N511">
        <v>1</v>
      </c>
      <c r="O511" t="s">
        <v>22</v>
      </c>
      <c r="P511">
        <v>3647.19</v>
      </c>
      <c r="Q511" t="s">
        <v>74</v>
      </c>
      <c r="R511" t="s">
        <v>75</v>
      </c>
      <c r="S511">
        <v>226001</v>
      </c>
      <c r="T511" t="s">
        <v>25</v>
      </c>
      <c r="U511" t="s">
        <v>26</v>
      </c>
    </row>
    <row r="512" spans="1:21" x14ac:dyDescent="0.3">
      <c r="A512">
        <v>511</v>
      </c>
      <c r="B512" t="s">
        <v>1831</v>
      </c>
      <c r="C512" t="s">
        <v>1832</v>
      </c>
      <c r="D512" t="s">
        <v>29</v>
      </c>
      <c r="E512">
        <v>19</v>
      </c>
      <c r="F512" t="str">
        <f t="shared" si="14"/>
        <v>Teenager</v>
      </c>
      <c r="G512" t="s">
        <v>1024</v>
      </c>
      <c r="H512" t="str">
        <f t="shared" si="15"/>
        <v>Mar</v>
      </c>
      <c r="I512" t="s">
        <v>17</v>
      </c>
      <c r="J512" t="s">
        <v>40</v>
      </c>
      <c r="K512" t="s">
        <v>1833</v>
      </c>
      <c r="L512" t="s">
        <v>73</v>
      </c>
      <c r="M512" t="s">
        <v>34</v>
      </c>
      <c r="N512">
        <v>2</v>
      </c>
      <c r="O512" t="s">
        <v>22</v>
      </c>
      <c r="P512">
        <v>890.79</v>
      </c>
      <c r="Q512" t="s">
        <v>42</v>
      </c>
      <c r="R512" t="s">
        <v>43</v>
      </c>
      <c r="S512">
        <v>302001</v>
      </c>
      <c r="T512" t="s">
        <v>25</v>
      </c>
      <c r="U512" t="s">
        <v>26</v>
      </c>
    </row>
    <row r="513" spans="1:21" x14ac:dyDescent="0.3">
      <c r="A513">
        <v>512</v>
      </c>
      <c r="B513" t="s">
        <v>1834</v>
      </c>
      <c r="C513" t="s">
        <v>1835</v>
      </c>
      <c r="D513" t="s">
        <v>15</v>
      </c>
      <c r="E513">
        <v>27</v>
      </c>
      <c r="F513" t="str">
        <f t="shared" si="14"/>
        <v>Teenager</v>
      </c>
      <c r="G513" t="s">
        <v>1836</v>
      </c>
      <c r="H513" t="str">
        <f t="shared" si="15"/>
        <v>Jul</v>
      </c>
      <c r="I513" t="s">
        <v>70</v>
      </c>
      <c r="J513" t="s">
        <v>40</v>
      </c>
      <c r="K513" t="s">
        <v>1837</v>
      </c>
      <c r="L513" t="s">
        <v>20</v>
      </c>
      <c r="M513" t="s">
        <v>85</v>
      </c>
      <c r="N513">
        <v>3</v>
      </c>
      <c r="O513" t="s">
        <v>22</v>
      </c>
      <c r="P513">
        <v>2952.98</v>
      </c>
      <c r="Q513" t="s">
        <v>35</v>
      </c>
      <c r="R513" t="s">
        <v>36</v>
      </c>
      <c r="S513">
        <v>560001</v>
      </c>
      <c r="T513" t="s">
        <v>25</v>
      </c>
      <c r="U513" t="s">
        <v>44</v>
      </c>
    </row>
    <row r="514" spans="1:21" x14ac:dyDescent="0.3">
      <c r="A514">
        <v>513</v>
      </c>
      <c r="B514" t="s">
        <v>1838</v>
      </c>
      <c r="C514" t="s">
        <v>1839</v>
      </c>
      <c r="D514" t="s">
        <v>15</v>
      </c>
      <c r="E514">
        <v>42</v>
      </c>
      <c r="F514" t="str">
        <f t="shared" si="14"/>
        <v>Adult</v>
      </c>
      <c r="G514" t="s">
        <v>308</v>
      </c>
      <c r="H514" t="str">
        <f t="shared" si="15"/>
        <v>Jul</v>
      </c>
      <c r="I514" t="s">
        <v>70</v>
      </c>
      <c r="J514" t="s">
        <v>40</v>
      </c>
      <c r="K514" t="s">
        <v>1840</v>
      </c>
      <c r="L514" t="s">
        <v>20</v>
      </c>
      <c r="M514" t="s">
        <v>21</v>
      </c>
      <c r="N514">
        <v>1</v>
      </c>
      <c r="O514" t="s">
        <v>22</v>
      </c>
      <c r="P514">
        <v>1407</v>
      </c>
      <c r="Q514" t="s">
        <v>51</v>
      </c>
      <c r="R514" t="s">
        <v>51</v>
      </c>
      <c r="S514">
        <v>110001</v>
      </c>
      <c r="T514" t="s">
        <v>25</v>
      </c>
      <c r="U514" t="s">
        <v>26</v>
      </c>
    </row>
    <row r="515" spans="1:21" x14ac:dyDescent="0.3">
      <c r="A515">
        <v>514</v>
      </c>
      <c r="B515" t="s">
        <v>1841</v>
      </c>
      <c r="C515" t="s">
        <v>1842</v>
      </c>
      <c r="D515" t="s">
        <v>29</v>
      </c>
      <c r="E515">
        <v>42</v>
      </c>
      <c r="F515" t="str">
        <f t="shared" ref="F515:F578" si="16">IF(E515&gt;=50,"Senior", IF(E515&gt;=30, "Adult","Teenager"))</f>
        <v>Adult</v>
      </c>
      <c r="G515" t="s">
        <v>1843</v>
      </c>
      <c r="H515" t="str">
        <f t="shared" ref="H515:H578" si="17">TEXT(G515,"MMM")</f>
        <v>Aug</v>
      </c>
      <c r="I515" t="s">
        <v>70</v>
      </c>
      <c r="J515" t="s">
        <v>40</v>
      </c>
      <c r="K515" t="s">
        <v>1844</v>
      </c>
      <c r="L515" t="s">
        <v>62</v>
      </c>
      <c r="M515" t="s">
        <v>85</v>
      </c>
      <c r="N515">
        <v>3</v>
      </c>
      <c r="O515" t="s">
        <v>22</v>
      </c>
      <c r="P515">
        <v>3649.79</v>
      </c>
      <c r="Q515" t="s">
        <v>35</v>
      </c>
      <c r="R515" t="s">
        <v>36</v>
      </c>
      <c r="S515">
        <v>560001</v>
      </c>
      <c r="T515" t="s">
        <v>25</v>
      </c>
      <c r="U515" t="s">
        <v>26</v>
      </c>
    </row>
    <row r="516" spans="1:21" x14ac:dyDescent="0.3">
      <c r="A516">
        <v>515</v>
      </c>
      <c r="B516" t="s">
        <v>1845</v>
      </c>
      <c r="C516" t="s">
        <v>1846</v>
      </c>
      <c r="D516" t="s">
        <v>15</v>
      </c>
      <c r="E516">
        <v>42</v>
      </c>
      <c r="F516" t="str">
        <f t="shared" si="16"/>
        <v>Adult</v>
      </c>
      <c r="G516" t="s">
        <v>397</v>
      </c>
      <c r="H516" t="str">
        <f t="shared" si="17"/>
        <v>Jun</v>
      </c>
      <c r="I516" t="s">
        <v>48</v>
      </c>
      <c r="J516" t="s">
        <v>31</v>
      </c>
      <c r="K516" t="s">
        <v>1847</v>
      </c>
      <c r="L516" t="s">
        <v>107</v>
      </c>
      <c r="M516" t="s">
        <v>34</v>
      </c>
      <c r="N516">
        <v>5</v>
      </c>
      <c r="O516" t="s">
        <v>22</v>
      </c>
      <c r="P516">
        <v>4841.54</v>
      </c>
      <c r="Q516" t="s">
        <v>51</v>
      </c>
      <c r="R516" t="s">
        <v>51</v>
      </c>
      <c r="S516">
        <v>110001</v>
      </c>
      <c r="T516" t="s">
        <v>25</v>
      </c>
      <c r="U516" t="s">
        <v>26</v>
      </c>
    </row>
    <row r="517" spans="1:21" x14ac:dyDescent="0.3">
      <c r="A517">
        <v>516</v>
      </c>
      <c r="B517" t="s">
        <v>1848</v>
      </c>
      <c r="C517" t="s">
        <v>1203</v>
      </c>
      <c r="D517" t="s">
        <v>15</v>
      </c>
      <c r="E517">
        <v>59</v>
      </c>
      <c r="F517" t="str">
        <f t="shared" si="16"/>
        <v>Senior</v>
      </c>
      <c r="G517" t="s">
        <v>1012</v>
      </c>
      <c r="H517" t="str">
        <f t="shared" si="17"/>
        <v>Oct</v>
      </c>
      <c r="I517" t="s">
        <v>60</v>
      </c>
      <c r="J517" t="s">
        <v>18</v>
      </c>
      <c r="K517" t="s">
        <v>1849</v>
      </c>
      <c r="L517" t="s">
        <v>56</v>
      </c>
      <c r="M517" t="s">
        <v>85</v>
      </c>
      <c r="N517">
        <v>2</v>
      </c>
      <c r="O517" t="s">
        <v>22</v>
      </c>
      <c r="P517">
        <v>1613.17</v>
      </c>
      <c r="Q517" t="s">
        <v>74</v>
      </c>
      <c r="R517" t="s">
        <v>75</v>
      </c>
      <c r="S517">
        <v>226001</v>
      </c>
      <c r="T517" t="s">
        <v>25</v>
      </c>
      <c r="U517" t="s">
        <v>44</v>
      </c>
    </row>
    <row r="518" spans="1:21" x14ac:dyDescent="0.3">
      <c r="A518">
        <v>517</v>
      </c>
      <c r="B518" t="s">
        <v>1850</v>
      </c>
      <c r="C518" t="s">
        <v>1851</v>
      </c>
      <c r="D518" t="s">
        <v>29</v>
      </c>
      <c r="E518">
        <v>49</v>
      </c>
      <c r="F518" t="str">
        <f t="shared" si="16"/>
        <v>Adult</v>
      </c>
      <c r="G518" t="s">
        <v>1629</v>
      </c>
      <c r="H518" t="str">
        <f t="shared" si="17"/>
        <v>Sep</v>
      </c>
      <c r="I518" t="s">
        <v>17</v>
      </c>
      <c r="J518" t="s">
        <v>79</v>
      </c>
      <c r="K518" t="s">
        <v>1852</v>
      </c>
      <c r="L518" t="s">
        <v>20</v>
      </c>
      <c r="M518" t="s">
        <v>50</v>
      </c>
      <c r="N518">
        <v>2</v>
      </c>
      <c r="O518" t="s">
        <v>22</v>
      </c>
      <c r="P518">
        <v>4372.87</v>
      </c>
      <c r="Q518" t="s">
        <v>51</v>
      </c>
      <c r="R518" t="s">
        <v>51</v>
      </c>
      <c r="S518">
        <v>110001</v>
      </c>
      <c r="T518" t="s">
        <v>25</v>
      </c>
      <c r="U518" t="s">
        <v>26</v>
      </c>
    </row>
    <row r="519" spans="1:21" x14ac:dyDescent="0.3">
      <c r="A519">
        <v>518</v>
      </c>
      <c r="B519" t="s">
        <v>1853</v>
      </c>
      <c r="C519" t="s">
        <v>1854</v>
      </c>
      <c r="D519" t="s">
        <v>29</v>
      </c>
      <c r="E519">
        <v>29</v>
      </c>
      <c r="F519" t="str">
        <f t="shared" si="16"/>
        <v>Teenager</v>
      </c>
      <c r="G519" t="s">
        <v>312</v>
      </c>
      <c r="H519" t="str">
        <f t="shared" si="17"/>
        <v>Oct</v>
      </c>
      <c r="I519" t="s">
        <v>48</v>
      </c>
      <c r="J519" t="s">
        <v>40</v>
      </c>
      <c r="K519" t="s">
        <v>1855</v>
      </c>
      <c r="L519" t="s">
        <v>33</v>
      </c>
      <c r="M519" t="s">
        <v>50</v>
      </c>
      <c r="N519">
        <v>4</v>
      </c>
      <c r="O519" t="s">
        <v>22</v>
      </c>
      <c r="P519">
        <v>1722.47</v>
      </c>
      <c r="Q519" t="s">
        <v>51</v>
      </c>
      <c r="R519" t="s">
        <v>51</v>
      </c>
      <c r="S519">
        <v>110001</v>
      </c>
      <c r="T519" t="s">
        <v>25</v>
      </c>
      <c r="U519" t="s">
        <v>26</v>
      </c>
    </row>
    <row r="520" spans="1:21" x14ac:dyDescent="0.3">
      <c r="A520">
        <v>519</v>
      </c>
      <c r="B520" t="s">
        <v>1856</v>
      </c>
      <c r="C520" t="s">
        <v>1857</v>
      </c>
      <c r="D520" t="s">
        <v>15</v>
      </c>
      <c r="E520">
        <v>29</v>
      </c>
      <c r="F520" t="str">
        <f t="shared" si="16"/>
        <v>Teenager</v>
      </c>
      <c r="G520" t="s">
        <v>1858</v>
      </c>
      <c r="H520" t="str">
        <f t="shared" si="17"/>
        <v>Sep</v>
      </c>
      <c r="I520" t="s">
        <v>70</v>
      </c>
      <c r="J520" t="s">
        <v>40</v>
      </c>
      <c r="K520" t="s">
        <v>1859</v>
      </c>
      <c r="L520" t="s">
        <v>56</v>
      </c>
      <c r="M520" t="s">
        <v>85</v>
      </c>
      <c r="N520">
        <v>5</v>
      </c>
      <c r="O520" t="s">
        <v>22</v>
      </c>
      <c r="P520">
        <v>3958.5</v>
      </c>
      <c r="Q520" t="s">
        <v>35</v>
      </c>
      <c r="R520" t="s">
        <v>36</v>
      </c>
      <c r="S520">
        <v>560001</v>
      </c>
      <c r="T520" t="s">
        <v>25</v>
      </c>
      <c r="U520" t="s">
        <v>44</v>
      </c>
    </row>
    <row r="521" spans="1:21" x14ac:dyDescent="0.3">
      <c r="A521">
        <v>520</v>
      </c>
      <c r="B521" t="s">
        <v>1860</v>
      </c>
      <c r="C521" t="s">
        <v>1861</v>
      </c>
      <c r="D521" t="s">
        <v>15</v>
      </c>
      <c r="E521">
        <v>26</v>
      </c>
      <c r="F521" t="str">
        <f t="shared" si="16"/>
        <v>Teenager</v>
      </c>
      <c r="G521" t="s">
        <v>1862</v>
      </c>
      <c r="H521" t="str">
        <f t="shared" si="17"/>
        <v>Oct</v>
      </c>
      <c r="I521" t="s">
        <v>48</v>
      </c>
      <c r="J521" t="s">
        <v>71</v>
      </c>
      <c r="K521" t="s">
        <v>1863</v>
      </c>
      <c r="L521" t="s">
        <v>62</v>
      </c>
      <c r="M521" t="s">
        <v>21</v>
      </c>
      <c r="N521">
        <v>3</v>
      </c>
      <c r="O521" t="s">
        <v>22</v>
      </c>
      <c r="P521">
        <v>4646.8500000000004</v>
      </c>
      <c r="Q521" t="s">
        <v>51</v>
      </c>
      <c r="R521" t="s">
        <v>51</v>
      </c>
      <c r="S521">
        <v>110001</v>
      </c>
      <c r="T521" t="s">
        <v>25</v>
      </c>
      <c r="U521" t="s">
        <v>44</v>
      </c>
    </row>
    <row r="522" spans="1:21" x14ac:dyDescent="0.3">
      <c r="A522">
        <v>521</v>
      </c>
      <c r="B522" t="s">
        <v>1864</v>
      </c>
      <c r="C522" t="s">
        <v>1865</v>
      </c>
      <c r="D522" t="s">
        <v>15</v>
      </c>
      <c r="E522">
        <v>29</v>
      </c>
      <c r="F522" t="str">
        <f t="shared" si="16"/>
        <v>Teenager</v>
      </c>
      <c r="G522" t="s">
        <v>913</v>
      </c>
      <c r="H522" t="str">
        <f t="shared" si="17"/>
        <v>Jul</v>
      </c>
      <c r="I522" t="s">
        <v>48</v>
      </c>
      <c r="J522" t="s">
        <v>79</v>
      </c>
      <c r="K522" t="s">
        <v>1866</v>
      </c>
      <c r="L522" t="s">
        <v>56</v>
      </c>
      <c r="M522" t="s">
        <v>85</v>
      </c>
      <c r="N522">
        <v>4</v>
      </c>
      <c r="O522" t="s">
        <v>22</v>
      </c>
      <c r="P522">
        <v>1617.87</v>
      </c>
      <c r="Q522" t="s">
        <v>42</v>
      </c>
      <c r="R522" t="s">
        <v>43</v>
      </c>
      <c r="S522">
        <v>302001</v>
      </c>
      <c r="T522" t="s">
        <v>25</v>
      </c>
      <c r="U522" t="s">
        <v>26</v>
      </c>
    </row>
    <row r="523" spans="1:21" x14ac:dyDescent="0.3">
      <c r="A523">
        <v>522</v>
      </c>
      <c r="B523" t="s">
        <v>1867</v>
      </c>
      <c r="C523" t="s">
        <v>1868</v>
      </c>
      <c r="D523" t="s">
        <v>15</v>
      </c>
      <c r="E523">
        <v>46</v>
      </c>
      <c r="F523" t="str">
        <f t="shared" si="16"/>
        <v>Adult</v>
      </c>
      <c r="G523" t="s">
        <v>312</v>
      </c>
      <c r="H523" t="str">
        <f t="shared" si="17"/>
        <v>Oct</v>
      </c>
      <c r="I523" t="s">
        <v>48</v>
      </c>
      <c r="J523" t="s">
        <v>79</v>
      </c>
      <c r="K523" t="s">
        <v>1869</v>
      </c>
      <c r="L523" t="s">
        <v>20</v>
      </c>
      <c r="M523" t="s">
        <v>21</v>
      </c>
      <c r="N523">
        <v>1</v>
      </c>
      <c r="O523" t="s">
        <v>22</v>
      </c>
      <c r="P523">
        <v>1876.25</v>
      </c>
      <c r="Q523" t="s">
        <v>51</v>
      </c>
      <c r="R523" t="s">
        <v>51</v>
      </c>
      <c r="S523">
        <v>110001</v>
      </c>
      <c r="T523" t="s">
        <v>25</v>
      </c>
      <c r="U523" t="s">
        <v>26</v>
      </c>
    </row>
    <row r="524" spans="1:21" x14ac:dyDescent="0.3">
      <c r="A524">
        <v>523</v>
      </c>
      <c r="B524" t="s">
        <v>1870</v>
      </c>
      <c r="C524" t="s">
        <v>1871</v>
      </c>
      <c r="D524" t="s">
        <v>15</v>
      </c>
      <c r="E524">
        <v>29</v>
      </c>
      <c r="F524" t="str">
        <f t="shared" si="16"/>
        <v>Teenager</v>
      </c>
      <c r="G524" t="s">
        <v>718</v>
      </c>
      <c r="H524" t="str">
        <f t="shared" si="17"/>
        <v>Jul</v>
      </c>
      <c r="I524" t="s">
        <v>60</v>
      </c>
      <c r="J524" t="s">
        <v>101</v>
      </c>
      <c r="K524" t="s">
        <v>1872</v>
      </c>
      <c r="L524" t="s">
        <v>107</v>
      </c>
      <c r="M524" t="s">
        <v>85</v>
      </c>
      <c r="N524">
        <v>1</v>
      </c>
      <c r="O524" t="s">
        <v>22</v>
      </c>
      <c r="P524">
        <v>768.65</v>
      </c>
      <c r="Q524" t="s">
        <v>74</v>
      </c>
      <c r="R524" t="s">
        <v>75</v>
      </c>
      <c r="S524">
        <v>226001</v>
      </c>
      <c r="T524" t="s">
        <v>25</v>
      </c>
      <c r="U524" t="s">
        <v>26</v>
      </c>
    </row>
    <row r="525" spans="1:21" x14ac:dyDescent="0.3">
      <c r="A525">
        <v>524</v>
      </c>
      <c r="B525" t="s">
        <v>1873</v>
      </c>
      <c r="C525" t="s">
        <v>1874</v>
      </c>
      <c r="D525" t="s">
        <v>15</v>
      </c>
      <c r="E525">
        <v>58</v>
      </c>
      <c r="F525" t="str">
        <f t="shared" si="16"/>
        <v>Senior</v>
      </c>
      <c r="G525" t="s">
        <v>16</v>
      </c>
      <c r="H525" t="str">
        <f t="shared" si="17"/>
        <v>Mar</v>
      </c>
      <c r="I525" t="s">
        <v>48</v>
      </c>
      <c r="J525" t="s">
        <v>31</v>
      </c>
      <c r="K525" t="s">
        <v>1875</v>
      </c>
      <c r="L525" t="s">
        <v>56</v>
      </c>
      <c r="M525" t="s">
        <v>50</v>
      </c>
      <c r="N525">
        <v>1</v>
      </c>
      <c r="O525" t="s">
        <v>22</v>
      </c>
      <c r="P525">
        <v>1616.87</v>
      </c>
      <c r="Q525" t="s">
        <v>74</v>
      </c>
      <c r="R525" t="s">
        <v>75</v>
      </c>
      <c r="S525">
        <v>226001</v>
      </c>
      <c r="T525" t="s">
        <v>25</v>
      </c>
      <c r="U525" t="s">
        <v>26</v>
      </c>
    </row>
    <row r="526" spans="1:21" x14ac:dyDescent="0.3">
      <c r="A526">
        <v>525</v>
      </c>
      <c r="B526" t="s">
        <v>1876</v>
      </c>
      <c r="C526" t="s">
        <v>1877</v>
      </c>
      <c r="D526" t="s">
        <v>15</v>
      </c>
      <c r="E526">
        <v>48</v>
      </c>
      <c r="F526" t="str">
        <f t="shared" si="16"/>
        <v>Adult</v>
      </c>
      <c r="G526" t="s">
        <v>96</v>
      </c>
      <c r="H526" t="str">
        <f t="shared" si="17"/>
        <v>Jun</v>
      </c>
      <c r="I526" t="s">
        <v>48</v>
      </c>
      <c r="J526" t="s">
        <v>31</v>
      </c>
      <c r="K526" t="s">
        <v>1878</v>
      </c>
      <c r="L526" t="s">
        <v>56</v>
      </c>
      <c r="M526" t="s">
        <v>21</v>
      </c>
      <c r="N526">
        <v>4</v>
      </c>
      <c r="O526" t="s">
        <v>22</v>
      </c>
      <c r="P526">
        <v>566.52</v>
      </c>
      <c r="Q526" t="s">
        <v>23</v>
      </c>
      <c r="R526" t="s">
        <v>24</v>
      </c>
      <c r="S526">
        <v>400001</v>
      </c>
      <c r="T526" t="s">
        <v>25</v>
      </c>
      <c r="U526" t="s">
        <v>44</v>
      </c>
    </row>
    <row r="527" spans="1:21" x14ac:dyDescent="0.3">
      <c r="A527">
        <v>526</v>
      </c>
      <c r="B527" t="s">
        <v>1879</v>
      </c>
      <c r="C527" t="s">
        <v>1880</v>
      </c>
      <c r="D527" t="s">
        <v>29</v>
      </c>
      <c r="E527">
        <v>52</v>
      </c>
      <c r="F527" t="str">
        <f t="shared" si="16"/>
        <v>Senior</v>
      </c>
      <c r="G527" t="s">
        <v>707</v>
      </c>
      <c r="H527" t="str">
        <f t="shared" si="17"/>
        <v>Apr</v>
      </c>
      <c r="I527" t="s">
        <v>70</v>
      </c>
      <c r="J527" t="s">
        <v>31</v>
      </c>
      <c r="K527" t="s">
        <v>1881</v>
      </c>
      <c r="L527" t="s">
        <v>62</v>
      </c>
      <c r="M527" t="s">
        <v>21</v>
      </c>
      <c r="N527">
        <v>2</v>
      </c>
      <c r="O527" t="s">
        <v>22</v>
      </c>
      <c r="P527">
        <v>3599.08</v>
      </c>
      <c r="Q527" t="s">
        <v>42</v>
      </c>
      <c r="R527" t="s">
        <v>43</v>
      </c>
      <c r="S527">
        <v>302001</v>
      </c>
      <c r="T527" t="s">
        <v>25</v>
      </c>
      <c r="U527" t="s">
        <v>44</v>
      </c>
    </row>
    <row r="528" spans="1:21" x14ac:dyDescent="0.3">
      <c r="A528">
        <v>527</v>
      </c>
      <c r="B528" t="s">
        <v>1882</v>
      </c>
      <c r="C528" t="s">
        <v>1384</v>
      </c>
      <c r="D528" t="s">
        <v>29</v>
      </c>
      <c r="E528">
        <v>25</v>
      </c>
      <c r="F528" t="str">
        <f t="shared" si="16"/>
        <v>Teenager</v>
      </c>
      <c r="G528" t="s">
        <v>1087</v>
      </c>
      <c r="H528" t="str">
        <f t="shared" si="17"/>
        <v>Oct</v>
      </c>
      <c r="I528" t="s">
        <v>70</v>
      </c>
      <c r="J528" t="s">
        <v>31</v>
      </c>
      <c r="K528" t="s">
        <v>1883</v>
      </c>
      <c r="L528" t="s">
        <v>56</v>
      </c>
      <c r="M528" t="s">
        <v>85</v>
      </c>
      <c r="N528">
        <v>1</v>
      </c>
      <c r="O528" t="s">
        <v>22</v>
      </c>
      <c r="P528">
        <v>4752.87</v>
      </c>
      <c r="Q528" t="s">
        <v>35</v>
      </c>
      <c r="R528" t="s">
        <v>36</v>
      </c>
      <c r="S528">
        <v>560001</v>
      </c>
      <c r="T528" t="s">
        <v>25</v>
      </c>
      <c r="U528" t="s">
        <v>26</v>
      </c>
    </row>
    <row r="529" spans="1:21" x14ac:dyDescent="0.3">
      <c r="A529">
        <v>528</v>
      </c>
      <c r="B529" t="s">
        <v>1884</v>
      </c>
      <c r="C529" t="s">
        <v>1885</v>
      </c>
      <c r="D529" t="s">
        <v>29</v>
      </c>
      <c r="E529">
        <v>32</v>
      </c>
      <c r="F529" t="str">
        <f t="shared" si="16"/>
        <v>Adult</v>
      </c>
      <c r="G529" t="s">
        <v>1886</v>
      </c>
      <c r="H529" t="str">
        <f t="shared" si="17"/>
        <v>Jan</v>
      </c>
      <c r="I529" t="s">
        <v>60</v>
      </c>
      <c r="J529" t="s">
        <v>31</v>
      </c>
      <c r="K529" t="s">
        <v>1887</v>
      </c>
      <c r="L529" t="s">
        <v>73</v>
      </c>
      <c r="M529" t="s">
        <v>21</v>
      </c>
      <c r="N529">
        <v>5</v>
      </c>
      <c r="O529" t="s">
        <v>22</v>
      </c>
      <c r="P529">
        <v>3242.34</v>
      </c>
      <c r="Q529" t="s">
        <v>42</v>
      </c>
      <c r="R529" t="s">
        <v>43</v>
      </c>
      <c r="S529">
        <v>302001</v>
      </c>
      <c r="T529" t="s">
        <v>25</v>
      </c>
      <c r="U529" t="s">
        <v>26</v>
      </c>
    </row>
    <row r="530" spans="1:21" x14ac:dyDescent="0.3">
      <c r="A530">
        <v>529</v>
      </c>
      <c r="B530" t="s">
        <v>1888</v>
      </c>
      <c r="C530" t="s">
        <v>1889</v>
      </c>
      <c r="D530" t="s">
        <v>29</v>
      </c>
      <c r="E530">
        <v>29</v>
      </c>
      <c r="F530" t="str">
        <f t="shared" si="16"/>
        <v>Teenager</v>
      </c>
      <c r="G530" t="s">
        <v>163</v>
      </c>
      <c r="H530" t="str">
        <f t="shared" si="17"/>
        <v>Mar</v>
      </c>
      <c r="I530" t="s">
        <v>60</v>
      </c>
      <c r="J530" t="s">
        <v>31</v>
      </c>
      <c r="K530" t="s">
        <v>1890</v>
      </c>
      <c r="L530" t="s">
        <v>62</v>
      </c>
      <c r="M530" t="s">
        <v>34</v>
      </c>
      <c r="N530">
        <v>1</v>
      </c>
      <c r="O530" t="s">
        <v>22</v>
      </c>
      <c r="P530">
        <v>455.48</v>
      </c>
      <c r="Q530" t="s">
        <v>23</v>
      </c>
      <c r="R530" t="s">
        <v>24</v>
      </c>
      <c r="S530">
        <v>400001</v>
      </c>
      <c r="T530" t="s">
        <v>25</v>
      </c>
      <c r="U530" t="s">
        <v>44</v>
      </c>
    </row>
    <row r="531" spans="1:21" x14ac:dyDescent="0.3">
      <c r="A531">
        <v>530</v>
      </c>
      <c r="B531" t="s">
        <v>1891</v>
      </c>
      <c r="C531" t="s">
        <v>1892</v>
      </c>
      <c r="D531" t="s">
        <v>15</v>
      </c>
      <c r="E531">
        <v>60</v>
      </c>
      <c r="F531" t="str">
        <f t="shared" si="16"/>
        <v>Senior</v>
      </c>
      <c r="G531" t="s">
        <v>469</v>
      </c>
      <c r="H531" t="str">
        <f t="shared" si="17"/>
        <v>Mar</v>
      </c>
      <c r="I531" t="s">
        <v>70</v>
      </c>
      <c r="J531" t="s">
        <v>31</v>
      </c>
      <c r="K531" t="s">
        <v>1893</v>
      </c>
      <c r="L531" t="s">
        <v>107</v>
      </c>
      <c r="M531" t="s">
        <v>50</v>
      </c>
      <c r="N531">
        <v>4</v>
      </c>
      <c r="O531" t="s">
        <v>22</v>
      </c>
      <c r="P531">
        <v>666.31</v>
      </c>
      <c r="Q531" t="s">
        <v>74</v>
      </c>
      <c r="R531" t="s">
        <v>75</v>
      </c>
      <c r="S531">
        <v>226001</v>
      </c>
      <c r="T531" t="s">
        <v>25</v>
      </c>
      <c r="U531" t="s">
        <v>44</v>
      </c>
    </row>
    <row r="532" spans="1:21" x14ac:dyDescent="0.3">
      <c r="A532">
        <v>531</v>
      </c>
      <c r="B532" t="s">
        <v>1894</v>
      </c>
      <c r="C532" t="s">
        <v>1895</v>
      </c>
      <c r="D532" t="s">
        <v>15</v>
      </c>
      <c r="E532">
        <v>19</v>
      </c>
      <c r="F532" t="str">
        <f t="shared" si="16"/>
        <v>Teenager</v>
      </c>
      <c r="G532" t="s">
        <v>1375</v>
      </c>
      <c r="H532" t="str">
        <f t="shared" si="17"/>
        <v>Apr</v>
      </c>
      <c r="I532" t="s">
        <v>70</v>
      </c>
      <c r="J532" t="s">
        <v>31</v>
      </c>
      <c r="K532" t="s">
        <v>1896</v>
      </c>
      <c r="L532" t="s">
        <v>107</v>
      </c>
      <c r="M532" t="s">
        <v>50</v>
      </c>
      <c r="N532">
        <v>2</v>
      </c>
      <c r="O532" t="s">
        <v>22</v>
      </c>
      <c r="P532">
        <v>3958.08</v>
      </c>
      <c r="Q532" t="s">
        <v>35</v>
      </c>
      <c r="R532" t="s">
        <v>36</v>
      </c>
      <c r="S532">
        <v>560001</v>
      </c>
      <c r="T532" t="s">
        <v>25</v>
      </c>
      <c r="U532" t="s">
        <v>44</v>
      </c>
    </row>
    <row r="533" spans="1:21" x14ac:dyDescent="0.3">
      <c r="A533">
        <v>532</v>
      </c>
      <c r="B533" t="s">
        <v>1897</v>
      </c>
      <c r="C533" t="s">
        <v>1898</v>
      </c>
      <c r="D533" t="s">
        <v>15</v>
      </c>
      <c r="E533">
        <v>46</v>
      </c>
      <c r="F533" t="str">
        <f t="shared" si="16"/>
        <v>Adult</v>
      </c>
      <c r="G533" t="s">
        <v>151</v>
      </c>
      <c r="H533" t="str">
        <f t="shared" si="17"/>
        <v>Jul</v>
      </c>
      <c r="I533" t="s">
        <v>70</v>
      </c>
      <c r="J533" t="s">
        <v>31</v>
      </c>
      <c r="K533" t="s">
        <v>1899</v>
      </c>
      <c r="L533" t="s">
        <v>107</v>
      </c>
      <c r="M533" t="s">
        <v>50</v>
      </c>
      <c r="N533">
        <v>5</v>
      </c>
      <c r="O533" t="s">
        <v>22</v>
      </c>
      <c r="P533">
        <v>3279.65</v>
      </c>
      <c r="Q533" t="s">
        <v>51</v>
      </c>
      <c r="R533" t="s">
        <v>51</v>
      </c>
      <c r="S533">
        <v>110001</v>
      </c>
      <c r="T533" t="s">
        <v>25</v>
      </c>
      <c r="U533" t="s">
        <v>26</v>
      </c>
    </row>
    <row r="534" spans="1:21" x14ac:dyDescent="0.3">
      <c r="A534">
        <v>533</v>
      </c>
      <c r="B534" t="s">
        <v>1900</v>
      </c>
      <c r="C534" t="s">
        <v>1901</v>
      </c>
      <c r="D534" t="s">
        <v>29</v>
      </c>
      <c r="E534">
        <v>40</v>
      </c>
      <c r="F534" t="str">
        <f t="shared" si="16"/>
        <v>Adult</v>
      </c>
      <c r="G534" t="s">
        <v>1450</v>
      </c>
      <c r="H534" t="str">
        <f t="shared" si="17"/>
        <v>Jul</v>
      </c>
      <c r="I534" t="s">
        <v>70</v>
      </c>
      <c r="J534" t="s">
        <v>31</v>
      </c>
      <c r="K534" t="s">
        <v>1902</v>
      </c>
      <c r="L534" t="s">
        <v>56</v>
      </c>
      <c r="M534" t="s">
        <v>50</v>
      </c>
      <c r="N534">
        <v>5</v>
      </c>
      <c r="O534" t="s">
        <v>22</v>
      </c>
      <c r="P534">
        <v>952.06</v>
      </c>
      <c r="Q534" t="s">
        <v>51</v>
      </c>
      <c r="R534" t="s">
        <v>51</v>
      </c>
      <c r="S534">
        <v>110001</v>
      </c>
      <c r="T534" t="s">
        <v>25</v>
      </c>
      <c r="U534" t="s">
        <v>44</v>
      </c>
    </row>
    <row r="535" spans="1:21" x14ac:dyDescent="0.3">
      <c r="A535">
        <v>534</v>
      </c>
      <c r="B535" t="s">
        <v>1903</v>
      </c>
      <c r="C535" t="s">
        <v>1904</v>
      </c>
      <c r="D535" t="s">
        <v>15</v>
      </c>
      <c r="E535">
        <v>47</v>
      </c>
      <c r="F535" t="str">
        <f t="shared" si="16"/>
        <v>Adult</v>
      </c>
      <c r="G535" t="s">
        <v>183</v>
      </c>
      <c r="H535" t="str">
        <f t="shared" si="17"/>
        <v>Jul</v>
      </c>
      <c r="I535" t="s">
        <v>70</v>
      </c>
      <c r="J535" t="s">
        <v>31</v>
      </c>
      <c r="K535" t="s">
        <v>1905</v>
      </c>
      <c r="L535" t="s">
        <v>20</v>
      </c>
      <c r="M535" t="s">
        <v>34</v>
      </c>
      <c r="N535">
        <v>1</v>
      </c>
      <c r="O535" t="s">
        <v>22</v>
      </c>
      <c r="P535">
        <v>3657.97</v>
      </c>
      <c r="Q535" t="s">
        <v>42</v>
      </c>
      <c r="R535" t="s">
        <v>43</v>
      </c>
      <c r="S535">
        <v>302001</v>
      </c>
      <c r="T535" t="s">
        <v>25</v>
      </c>
      <c r="U535" t="s">
        <v>44</v>
      </c>
    </row>
    <row r="536" spans="1:21" x14ac:dyDescent="0.3">
      <c r="A536">
        <v>535</v>
      </c>
      <c r="B536" t="s">
        <v>1906</v>
      </c>
      <c r="C536" t="s">
        <v>1907</v>
      </c>
      <c r="D536" t="s">
        <v>29</v>
      </c>
      <c r="E536">
        <v>50</v>
      </c>
      <c r="F536" t="str">
        <f t="shared" si="16"/>
        <v>Senior</v>
      </c>
      <c r="G536" t="s">
        <v>703</v>
      </c>
      <c r="H536" t="str">
        <f t="shared" si="17"/>
        <v>Feb</v>
      </c>
      <c r="I536" t="s">
        <v>48</v>
      </c>
      <c r="J536" t="s">
        <v>31</v>
      </c>
      <c r="K536" t="s">
        <v>1908</v>
      </c>
      <c r="L536" t="s">
        <v>20</v>
      </c>
      <c r="M536" t="s">
        <v>21</v>
      </c>
      <c r="N536">
        <v>4</v>
      </c>
      <c r="O536" t="s">
        <v>22</v>
      </c>
      <c r="P536">
        <v>1772.95</v>
      </c>
      <c r="Q536" t="s">
        <v>51</v>
      </c>
      <c r="R536" t="s">
        <v>51</v>
      </c>
      <c r="S536">
        <v>110001</v>
      </c>
      <c r="T536" t="s">
        <v>25</v>
      </c>
      <c r="U536" t="s">
        <v>44</v>
      </c>
    </row>
    <row r="537" spans="1:21" x14ac:dyDescent="0.3">
      <c r="A537">
        <v>536</v>
      </c>
      <c r="B537" t="s">
        <v>1909</v>
      </c>
      <c r="C537" t="s">
        <v>1910</v>
      </c>
      <c r="D537" t="s">
        <v>29</v>
      </c>
      <c r="E537">
        <v>32</v>
      </c>
      <c r="F537" t="str">
        <f t="shared" si="16"/>
        <v>Adult</v>
      </c>
      <c r="G537" t="s">
        <v>1911</v>
      </c>
      <c r="H537" t="str">
        <f t="shared" si="17"/>
        <v>May</v>
      </c>
      <c r="I537" t="s">
        <v>17</v>
      </c>
      <c r="J537" t="s">
        <v>31</v>
      </c>
      <c r="K537" t="s">
        <v>1912</v>
      </c>
      <c r="L537" t="s">
        <v>107</v>
      </c>
      <c r="M537" t="s">
        <v>50</v>
      </c>
      <c r="N537">
        <v>3</v>
      </c>
      <c r="O537" t="s">
        <v>22</v>
      </c>
      <c r="P537">
        <v>2363.9</v>
      </c>
      <c r="Q537" t="s">
        <v>74</v>
      </c>
      <c r="R537" t="s">
        <v>75</v>
      </c>
      <c r="S537">
        <v>226001</v>
      </c>
      <c r="T537" t="s">
        <v>25</v>
      </c>
      <c r="U537" t="s">
        <v>26</v>
      </c>
    </row>
    <row r="538" spans="1:21" x14ac:dyDescent="0.3">
      <c r="A538">
        <v>537</v>
      </c>
      <c r="B538" t="s">
        <v>1913</v>
      </c>
      <c r="C538" t="s">
        <v>1914</v>
      </c>
      <c r="D538" t="s">
        <v>29</v>
      </c>
      <c r="E538">
        <v>22</v>
      </c>
      <c r="F538" t="str">
        <f t="shared" si="16"/>
        <v>Teenager</v>
      </c>
      <c r="G538" t="s">
        <v>1915</v>
      </c>
      <c r="H538" t="str">
        <f t="shared" si="17"/>
        <v>Dec</v>
      </c>
      <c r="I538" t="s">
        <v>17</v>
      </c>
      <c r="J538" t="s">
        <v>18</v>
      </c>
      <c r="K538" t="s">
        <v>1916</v>
      </c>
      <c r="L538" t="s">
        <v>56</v>
      </c>
      <c r="M538" t="s">
        <v>34</v>
      </c>
      <c r="N538">
        <v>2</v>
      </c>
      <c r="O538" t="s">
        <v>22</v>
      </c>
      <c r="P538">
        <v>4394.8500000000004</v>
      </c>
      <c r="Q538" t="s">
        <v>23</v>
      </c>
      <c r="R538" t="s">
        <v>24</v>
      </c>
      <c r="S538">
        <v>400001</v>
      </c>
      <c r="T538" t="s">
        <v>25</v>
      </c>
      <c r="U538" t="s">
        <v>44</v>
      </c>
    </row>
    <row r="539" spans="1:21" x14ac:dyDescent="0.3">
      <c r="A539">
        <v>538</v>
      </c>
      <c r="B539" t="s">
        <v>1917</v>
      </c>
      <c r="C539" t="s">
        <v>1918</v>
      </c>
      <c r="D539" t="s">
        <v>29</v>
      </c>
      <c r="E539">
        <v>24</v>
      </c>
      <c r="F539" t="str">
        <f t="shared" si="16"/>
        <v>Teenager</v>
      </c>
      <c r="G539" t="s">
        <v>802</v>
      </c>
      <c r="H539" t="str">
        <f t="shared" si="17"/>
        <v>Oct</v>
      </c>
      <c r="I539" t="s">
        <v>60</v>
      </c>
      <c r="J539" t="s">
        <v>31</v>
      </c>
      <c r="K539" t="s">
        <v>1919</v>
      </c>
      <c r="L539" t="s">
        <v>56</v>
      </c>
      <c r="M539" t="s">
        <v>50</v>
      </c>
      <c r="N539">
        <v>3</v>
      </c>
      <c r="O539" t="s">
        <v>22</v>
      </c>
      <c r="P539">
        <v>2680.3</v>
      </c>
      <c r="Q539" t="s">
        <v>35</v>
      </c>
      <c r="R539" t="s">
        <v>36</v>
      </c>
      <c r="S539">
        <v>560001</v>
      </c>
      <c r="T539" t="s">
        <v>25</v>
      </c>
      <c r="U539" t="s">
        <v>44</v>
      </c>
    </row>
    <row r="540" spans="1:21" x14ac:dyDescent="0.3">
      <c r="A540">
        <v>539</v>
      </c>
      <c r="B540" t="s">
        <v>1920</v>
      </c>
      <c r="C540" t="s">
        <v>1921</v>
      </c>
      <c r="D540" t="s">
        <v>15</v>
      </c>
      <c r="E540">
        <v>25</v>
      </c>
      <c r="F540" t="str">
        <f t="shared" si="16"/>
        <v>Teenager</v>
      </c>
      <c r="G540" t="s">
        <v>1922</v>
      </c>
      <c r="H540" t="str">
        <f t="shared" si="17"/>
        <v>May</v>
      </c>
      <c r="I540" t="s">
        <v>70</v>
      </c>
      <c r="J540" t="s">
        <v>31</v>
      </c>
      <c r="K540" t="s">
        <v>1923</v>
      </c>
      <c r="L540" t="s">
        <v>56</v>
      </c>
      <c r="M540" t="s">
        <v>34</v>
      </c>
      <c r="N540">
        <v>5</v>
      </c>
      <c r="O540" t="s">
        <v>22</v>
      </c>
      <c r="P540">
        <v>376.4</v>
      </c>
      <c r="Q540" t="s">
        <v>51</v>
      </c>
      <c r="R540" t="s">
        <v>51</v>
      </c>
      <c r="S540">
        <v>110001</v>
      </c>
      <c r="T540" t="s">
        <v>25</v>
      </c>
      <c r="U540" t="s">
        <v>26</v>
      </c>
    </row>
    <row r="541" spans="1:21" x14ac:dyDescent="0.3">
      <c r="A541">
        <v>540</v>
      </c>
      <c r="B541" t="s">
        <v>1924</v>
      </c>
      <c r="C541" t="s">
        <v>1925</v>
      </c>
      <c r="D541" t="s">
        <v>15</v>
      </c>
      <c r="E541">
        <v>43</v>
      </c>
      <c r="F541" t="str">
        <f t="shared" si="16"/>
        <v>Adult</v>
      </c>
      <c r="G541" t="s">
        <v>1926</v>
      </c>
      <c r="H541" t="str">
        <f t="shared" si="17"/>
        <v>Jun</v>
      </c>
      <c r="I541" t="s">
        <v>60</v>
      </c>
      <c r="J541" t="s">
        <v>79</v>
      </c>
      <c r="K541" t="s">
        <v>1927</v>
      </c>
      <c r="L541" t="s">
        <v>20</v>
      </c>
      <c r="M541" t="s">
        <v>34</v>
      </c>
      <c r="N541">
        <v>3</v>
      </c>
      <c r="O541" t="s">
        <v>22</v>
      </c>
      <c r="P541">
        <v>2740.84</v>
      </c>
      <c r="Q541" t="s">
        <v>51</v>
      </c>
      <c r="R541" t="s">
        <v>51</v>
      </c>
      <c r="S541">
        <v>110001</v>
      </c>
      <c r="T541" t="s">
        <v>25</v>
      </c>
      <c r="U541" t="s">
        <v>44</v>
      </c>
    </row>
    <row r="542" spans="1:21" x14ac:dyDescent="0.3">
      <c r="A542">
        <v>541</v>
      </c>
      <c r="B542" t="s">
        <v>1928</v>
      </c>
      <c r="C542" t="s">
        <v>1929</v>
      </c>
      <c r="D542" t="s">
        <v>15</v>
      </c>
      <c r="E542">
        <v>52</v>
      </c>
      <c r="F542" t="str">
        <f t="shared" si="16"/>
        <v>Senior</v>
      </c>
      <c r="G542" t="s">
        <v>1930</v>
      </c>
      <c r="H542" t="str">
        <f t="shared" si="17"/>
        <v>Jul</v>
      </c>
      <c r="I542" t="s">
        <v>70</v>
      </c>
      <c r="J542" t="s">
        <v>31</v>
      </c>
      <c r="K542" t="s">
        <v>1931</v>
      </c>
      <c r="L542" t="s">
        <v>20</v>
      </c>
      <c r="M542" t="s">
        <v>34</v>
      </c>
      <c r="N542">
        <v>5</v>
      </c>
      <c r="O542" t="s">
        <v>22</v>
      </c>
      <c r="P542">
        <v>3473.56</v>
      </c>
      <c r="Q542" t="s">
        <v>35</v>
      </c>
      <c r="R542" t="s">
        <v>36</v>
      </c>
      <c r="S542">
        <v>560001</v>
      </c>
      <c r="T542" t="s">
        <v>25</v>
      </c>
      <c r="U542" t="s">
        <v>44</v>
      </c>
    </row>
    <row r="543" spans="1:21" x14ac:dyDescent="0.3">
      <c r="A543">
        <v>542</v>
      </c>
      <c r="B543" t="s">
        <v>1932</v>
      </c>
      <c r="C543" t="s">
        <v>1933</v>
      </c>
      <c r="D543" t="s">
        <v>15</v>
      </c>
      <c r="E543">
        <v>49</v>
      </c>
      <c r="F543" t="str">
        <f t="shared" si="16"/>
        <v>Adult</v>
      </c>
      <c r="G543" t="s">
        <v>1836</v>
      </c>
      <c r="H543" t="str">
        <f t="shared" si="17"/>
        <v>Jul</v>
      </c>
      <c r="I543" t="s">
        <v>60</v>
      </c>
      <c r="J543" t="s">
        <v>40</v>
      </c>
      <c r="K543" t="s">
        <v>1934</v>
      </c>
      <c r="L543" t="s">
        <v>107</v>
      </c>
      <c r="M543" t="s">
        <v>21</v>
      </c>
      <c r="N543">
        <v>5</v>
      </c>
      <c r="O543" t="s">
        <v>22</v>
      </c>
      <c r="P543">
        <v>4588.7</v>
      </c>
      <c r="Q543" t="s">
        <v>51</v>
      </c>
      <c r="R543" t="s">
        <v>51</v>
      </c>
      <c r="S543">
        <v>110001</v>
      </c>
      <c r="T543" t="s">
        <v>25</v>
      </c>
      <c r="U543" t="s">
        <v>44</v>
      </c>
    </row>
    <row r="544" spans="1:21" x14ac:dyDescent="0.3">
      <c r="A544">
        <v>543</v>
      </c>
      <c r="B544" t="s">
        <v>1935</v>
      </c>
      <c r="C544" t="s">
        <v>1936</v>
      </c>
      <c r="D544" t="s">
        <v>15</v>
      </c>
      <c r="E544">
        <v>28</v>
      </c>
      <c r="F544" t="str">
        <f t="shared" si="16"/>
        <v>Teenager</v>
      </c>
      <c r="G544" t="s">
        <v>1041</v>
      </c>
      <c r="H544" t="str">
        <f t="shared" si="17"/>
        <v>May</v>
      </c>
      <c r="I544" t="s">
        <v>60</v>
      </c>
      <c r="J544" t="s">
        <v>40</v>
      </c>
      <c r="K544" t="s">
        <v>1937</v>
      </c>
      <c r="L544" t="s">
        <v>56</v>
      </c>
      <c r="M544" t="s">
        <v>21</v>
      </c>
      <c r="N544">
        <v>3</v>
      </c>
      <c r="O544" t="s">
        <v>22</v>
      </c>
      <c r="P544">
        <v>1323.49</v>
      </c>
      <c r="Q544" t="s">
        <v>42</v>
      </c>
      <c r="R544" t="s">
        <v>43</v>
      </c>
      <c r="S544">
        <v>302001</v>
      </c>
      <c r="T544" t="s">
        <v>25</v>
      </c>
      <c r="U544" t="s">
        <v>44</v>
      </c>
    </row>
    <row r="545" spans="1:21" x14ac:dyDescent="0.3">
      <c r="A545">
        <v>544</v>
      </c>
      <c r="B545" t="s">
        <v>1938</v>
      </c>
      <c r="C545" t="s">
        <v>1118</v>
      </c>
      <c r="D545" t="s">
        <v>29</v>
      </c>
      <c r="E545">
        <v>54</v>
      </c>
      <c r="F545" t="str">
        <f t="shared" si="16"/>
        <v>Senior</v>
      </c>
      <c r="G545" t="s">
        <v>757</v>
      </c>
      <c r="H545" t="str">
        <f t="shared" si="17"/>
        <v>Dec</v>
      </c>
      <c r="I545" t="s">
        <v>17</v>
      </c>
      <c r="J545" t="s">
        <v>40</v>
      </c>
      <c r="K545" t="s">
        <v>1939</v>
      </c>
      <c r="L545" t="s">
        <v>20</v>
      </c>
      <c r="M545" t="s">
        <v>50</v>
      </c>
      <c r="N545">
        <v>1</v>
      </c>
      <c r="O545" t="s">
        <v>22</v>
      </c>
      <c r="P545">
        <v>1044.45</v>
      </c>
      <c r="Q545" t="s">
        <v>35</v>
      </c>
      <c r="R545" t="s">
        <v>36</v>
      </c>
      <c r="S545">
        <v>560001</v>
      </c>
      <c r="T545" t="s">
        <v>25</v>
      </c>
      <c r="U545" t="s">
        <v>44</v>
      </c>
    </row>
    <row r="546" spans="1:21" x14ac:dyDescent="0.3">
      <c r="A546">
        <v>545</v>
      </c>
      <c r="B546" t="s">
        <v>1940</v>
      </c>
      <c r="C546" t="s">
        <v>1941</v>
      </c>
      <c r="D546" t="s">
        <v>15</v>
      </c>
      <c r="E546">
        <v>57</v>
      </c>
      <c r="F546" t="str">
        <f t="shared" si="16"/>
        <v>Senior</v>
      </c>
      <c r="G546" t="s">
        <v>703</v>
      </c>
      <c r="H546" t="str">
        <f t="shared" si="17"/>
        <v>Feb</v>
      </c>
      <c r="I546" t="s">
        <v>17</v>
      </c>
      <c r="J546" t="s">
        <v>40</v>
      </c>
      <c r="K546" t="s">
        <v>1942</v>
      </c>
      <c r="L546" t="s">
        <v>20</v>
      </c>
      <c r="M546" t="s">
        <v>34</v>
      </c>
      <c r="N546">
        <v>3</v>
      </c>
      <c r="O546" t="s">
        <v>22</v>
      </c>
      <c r="P546">
        <v>3570.91</v>
      </c>
      <c r="Q546" t="s">
        <v>42</v>
      </c>
      <c r="R546" t="s">
        <v>43</v>
      </c>
      <c r="S546">
        <v>302001</v>
      </c>
      <c r="T546" t="s">
        <v>25</v>
      </c>
      <c r="U546" t="s">
        <v>44</v>
      </c>
    </row>
    <row r="547" spans="1:21" x14ac:dyDescent="0.3">
      <c r="A547">
        <v>546</v>
      </c>
      <c r="B547" t="s">
        <v>1943</v>
      </c>
      <c r="C547" t="s">
        <v>1944</v>
      </c>
      <c r="D547" t="s">
        <v>15</v>
      </c>
      <c r="E547">
        <v>50</v>
      </c>
      <c r="F547" t="str">
        <f t="shared" si="16"/>
        <v>Senior</v>
      </c>
      <c r="G547" t="s">
        <v>100</v>
      </c>
      <c r="H547" t="str">
        <f t="shared" si="17"/>
        <v>Nov</v>
      </c>
      <c r="I547" t="s">
        <v>60</v>
      </c>
      <c r="J547" t="s">
        <v>40</v>
      </c>
      <c r="K547" t="s">
        <v>1945</v>
      </c>
      <c r="L547" t="s">
        <v>107</v>
      </c>
      <c r="M547" t="s">
        <v>50</v>
      </c>
      <c r="N547">
        <v>2</v>
      </c>
      <c r="O547" t="s">
        <v>22</v>
      </c>
      <c r="P547">
        <v>3048.57</v>
      </c>
      <c r="Q547" t="s">
        <v>23</v>
      </c>
      <c r="R547" t="s">
        <v>24</v>
      </c>
      <c r="S547">
        <v>400001</v>
      </c>
      <c r="T547" t="s">
        <v>25</v>
      </c>
      <c r="U547" t="s">
        <v>26</v>
      </c>
    </row>
    <row r="548" spans="1:21" x14ac:dyDescent="0.3">
      <c r="A548">
        <v>547</v>
      </c>
      <c r="B548" t="s">
        <v>1946</v>
      </c>
      <c r="C548" t="s">
        <v>1947</v>
      </c>
      <c r="D548" t="s">
        <v>15</v>
      </c>
      <c r="E548">
        <v>32</v>
      </c>
      <c r="F548" t="str">
        <f t="shared" si="16"/>
        <v>Adult</v>
      </c>
      <c r="G548" t="s">
        <v>1004</v>
      </c>
      <c r="H548" t="str">
        <f t="shared" si="17"/>
        <v>Nov</v>
      </c>
      <c r="I548" t="s">
        <v>48</v>
      </c>
      <c r="J548" t="s">
        <v>40</v>
      </c>
      <c r="K548" t="s">
        <v>1948</v>
      </c>
      <c r="L548" t="s">
        <v>20</v>
      </c>
      <c r="M548" t="s">
        <v>34</v>
      </c>
      <c r="N548">
        <v>5</v>
      </c>
      <c r="O548" t="s">
        <v>22</v>
      </c>
      <c r="P548">
        <v>1698.75</v>
      </c>
      <c r="Q548" t="s">
        <v>42</v>
      </c>
      <c r="R548" t="s">
        <v>43</v>
      </c>
      <c r="S548">
        <v>302001</v>
      </c>
      <c r="T548" t="s">
        <v>25</v>
      </c>
      <c r="U548" t="s">
        <v>26</v>
      </c>
    </row>
    <row r="549" spans="1:21" x14ac:dyDescent="0.3">
      <c r="A549">
        <v>548</v>
      </c>
      <c r="B549" t="s">
        <v>1949</v>
      </c>
      <c r="C549" t="s">
        <v>1950</v>
      </c>
      <c r="D549" t="s">
        <v>15</v>
      </c>
      <c r="E549">
        <v>45</v>
      </c>
      <c r="F549" t="str">
        <f t="shared" si="16"/>
        <v>Adult</v>
      </c>
      <c r="G549" t="s">
        <v>1109</v>
      </c>
      <c r="H549" t="str">
        <f t="shared" si="17"/>
        <v>Dec</v>
      </c>
      <c r="I549" t="s">
        <v>17</v>
      </c>
      <c r="J549" t="s">
        <v>40</v>
      </c>
      <c r="K549" t="s">
        <v>1951</v>
      </c>
      <c r="L549" t="s">
        <v>107</v>
      </c>
      <c r="M549" t="s">
        <v>34</v>
      </c>
      <c r="N549">
        <v>3</v>
      </c>
      <c r="O549" t="s">
        <v>22</v>
      </c>
      <c r="P549">
        <v>1099.03</v>
      </c>
      <c r="Q549" t="s">
        <v>51</v>
      </c>
      <c r="R549" t="s">
        <v>51</v>
      </c>
      <c r="S549">
        <v>110001</v>
      </c>
      <c r="T549" t="s">
        <v>25</v>
      </c>
      <c r="U549" t="s">
        <v>44</v>
      </c>
    </row>
    <row r="550" spans="1:21" x14ac:dyDescent="0.3">
      <c r="A550">
        <v>549</v>
      </c>
      <c r="B550" t="s">
        <v>1952</v>
      </c>
      <c r="C550" t="s">
        <v>1953</v>
      </c>
      <c r="D550" t="s">
        <v>29</v>
      </c>
      <c r="E550">
        <v>30</v>
      </c>
      <c r="F550" t="str">
        <f t="shared" si="16"/>
        <v>Adult</v>
      </c>
      <c r="G550" t="s">
        <v>143</v>
      </c>
      <c r="H550" t="str">
        <f t="shared" si="17"/>
        <v>Dec</v>
      </c>
      <c r="I550" t="s">
        <v>48</v>
      </c>
      <c r="J550" t="s">
        <v>40</v>
      </c>
      <c r="K550" t="s">
        <v>1954</v>
      </c>
      <c r="L550" t="s">
        <v>73</v>
      </c>
      <c r="M550" t="s">
        <v>85</v>
      </c>
      <c r="N550">
        <v>5</v>
      </c>
      <c r="O550" t="s">
        <v>22</v>
      </c>
      <c r="P550">
        <v>1467.04</v>
      </c>
      <c r="Q550" t="s">
        <v>51</v>
      </c>
      <c r="R550" t="s">
        <v>51</v>
      </c>
      <c r="S550">
        <v>110001</v>
      </c>
      <c r="T550" t="s">
        <v>25</v>
      </c>
      <c r="U550" t="s">
        <v>44</v>
      </c>
    </row>
    <row r="551" spans="1:21" x14ac:dyDescent="0.3">
      <c r="A551">
        <v>550</v>
      </c>
      <c r="B551" t="s">
        <v>1955</v>
      </c>
      <c r="C551" t="s">
        <v>1956</v>
      </c>
      <c r="D551" t="s">
        <v>15</v>
      </c>
      <c r="E551">
        <v>25</v>
      </c>
      <c r="F551" t="str">
        <f t="shared" si="16"/>
        <v>Teenager</v>
      </c>
      <c r="G551" t="s">
        <v>1957</v>
      </c>
      <c r="H551" t="str">
        <f t="shared" si="17"/>
        <v>Mar</v>
      </c>
      <c r="I551" t="s">
        <v>70</v>
      </c>
      <c r="J551" t="s">
        <v>40</v>
      </c>
      <c r="K551" t="s">
        <v>1958</v>
      </c>
      <c r="L551" t="s">
        <v>107</v>
      </c>
      <c r="M551" t="s">
        <v>34</v>
      </c>
      <c r="N551">
        <v>4</v>
      </c>
      <c r="O551" t="s">
        <v>22</v>
      </c>
      <c r="P551">
        <v>2338.58</v>
      </c>
      <c r="Q551" t="s">
        <v>35</v>
      </c>
      <c r="R551" t="s">
        <v>36</v>
      </c>
      <c r="S551">
        <v>560001</v>
      </c>
      <c r="T551" t="s">
        <v>25</v>
      </c>
      <c r="U551" t="s">
        <v>44</v>
      </c>
    </row>
    <row r="552" spans="1:21" x14ac:dyDescent="0.3">
      <c r="A552">
        <v>551</v>
      </c>
      <c r="B552" t="s">
        <v>1959</v>
      </c>
      <c r="C552" t="s">
        <v>1960</v>
      </c>
      <c r="D552" t="s">
        <v>29</v>
      </c>
      <c r="E552">
        <v>30</v>
      </c>
      <c r="F552" t="str">
        <f t="shared" si="16"/>
        <v>Adult</v>
      </c>
      <c r="G552" t="s">
        <v>1260</v>
      </c>
      <c r="H552" t="str">
        <f t="shared" si="17"/>
        <v>Oct</v>
      </c>
      <c r="I552" t="s">
        <v>48</v>
      </c>
      <c r="J552" t="s">
        <v>40</v>
      </c>
      <c r="K552" t="s">
        <v>1961</v>
      </c>
      <c r="L552" t="s">
        <v>20</v>
      </c>
      <c r="M552" t="s">
        <v>50</v>
      </c>
      <c r="N552">
        <v>4</v>
      </c>
      <c r="O552" t="s">
        <v>22</v>
      </c>
      <c r="P552">
        <v>4582.3</v>
      </c>
      <c r="Q552" t="s">
        <v>51</v>
      </c>
      <c r="R552" t="s">
        <v>51</v>
      </c>
      <c r="S552">
        <v>110001</v>
      </c>
      <c r="T552" t="s">
        <v>25</v>
      </c>
      <c r="U552" t="s">
        <v>44</v>
      </c>
    </row>
    <row r="553" spans="1:21" x14ac:dyDescent="0.3">
      <c r="A553">
        <v>552</v>
      </c>
      <c r="B553" t="s">
        <v>1962</v>
      </c>
      <c r="C553" t="s">
        <v>1963</v>
      </c>
      <c r="D553" t="s">
        <v>29</v>
      </c>
      <c r="E553">
        <v>40</v>
      </c>
      <c r="F553" t="str">
        <f t="shared" si="16"/>
        <v>Adult</v>
      </c>
      <c r="G553" t="s">
        <v>508</v>
      </c>
      <c r="H553" t="str">
        <f t="shared" si="17"/>
        <v>May</v>
      </c>
      <c r="I553" t="s">
        <v>48</v>
      </c>
      <c r="J553" t="s">
        <v>40</v>
      </c>
      <c r="K553" t="s">
        <v>1964</v>
      </c>
      <c r="L553" t="s">
        <v>33</v>
      </c>
      <c r="M553" t="s">
        <v>85</v>
      </c>
      <c r="N553">
        <v>5</v>
      </c>
      <c r="O553" t="s">
        <v>22</v>
      </c>
      <c r="P553">
        <v>4360.79</v>
      </c>
      <c r="Q553" t="s">
        <v>51</v>
      </c>
      <c r="R553" t="s">
        <v>51</v>
      </c>
      <c r="S553">
        <v>110001</v>
      </c>
      <c r="T553" t="s">
        <v>25</v>
      </c>
      <c r="U553" t="s">
        <v>26</v>
      </c>
    </row>
    <row r="554" spans="1:21" x14ac:dyDescent="0.3">
      <c r="A554">
        <v>553</v>
      </c>
      <c r="B554" t="s">
        <v>1965</v>
      </c>
      <c r="C554" t="s">
        <v>1966</v>
      </c>
      <c r="D554" t="s">
        <v>15</v>
      </c>
      <c r="E554">
        <v>37</v>
      </c>
      <c r="F554" t="str">
        <f t="shared" si="16"/>
        <v>Adult</v>
      </c>
      <c r="G554" t="s">
        <v>500</v>
      </c>
      <c r="H554" t="str">
        <f t="shared" si="17"/>
        <v>May</v>
      </c>
      <c r="I554" t="s">
        <v>48</v>
      </c>
      <c r="J554" t="s">
        <v>40</v>
      </c>
      <c r="K554" t="s">
        <v>1967</v>
      </c>
      <c r="L554" t="s">
        <v>33</v>
      </c>
      <c r="M554" t="s">
        <v>21</v>
      </c>
      <c r="N554">
        <v>1</v>
      </c>
      <c r="O554" t="s">
        <v>22</v>
      </c>
      <c r="P554">
        <v>4389.0600000000004</v>
      </c>
      <c r="Q554" t="s">
        <v>35</v>
      </c>
      <c r="R554" t="s">
        <v>36</v>
      </c>
      <c r="S554">
        <v>560001</v>
      </c>
      <c r="T554" t="s">
        <v>25</v>
      </c>
      <c r="U554" t="s">
        <v>44</v>
      </c>
    </row>
    <row r="555" spans="1:21" x14ac:dyDescent="0.3">
      <c r="A555">
        <v>554</v>
      </c>
      <c r="B555" t="s">
        <v>1968</v>
      </c>
      <c r="C555" t="s">
        <v>1969</v>
      </c>
      <c r="D555" t="s">
        <v>29</v>
      </c>
      <c r="E555">
        <v>29</v>
      </c>
      <c r="F555" t="str">
        <f t="shared" si="16"/>
        <v>Teenager</v>
      </c>
      <c r="G555" t="s">
        <v>1340</v>
      </c>
      <c r="H555" t="str">
        <f t="shared" si="17"/>
        <v>Dec</v>
      </c>
      <c r="I555" t="s">
        <v>48</v>
      </c>
      <c r="J555" t="s">
        <v>40</v>
      </c>
      <c r="K555" t="s">
        <v>1970</v>
      </c>
      <c r="L555" t="s">
        <v>33</v>
      </c>
      <c r="M555" t="s">
        <v>85</v>
      </c>
      <c r="N555">
        <v>5</v>
      </c>
      <c r="O555" t="s">
        <v>22</v>
      </c>
      <c r="P555">
        <v>3827.02</v>
      </c>
      <c r="Q555" t="s">
        <v>74</v>
      </c>
      <c r="R555" t="s">
        <v>75</v>
      </c>
      <c r="S555">
        <v>226001</v>
      </c>
      <c r="T555" t="s">
        <v>25</v>
      </c>
      <c r="U555" t="s">
        <v>44</v>
      </c>
    </row>
    <row r="556" spans="1:21" x14ac:dyDescent="0.3">
      <c r="A556">
        <v>555</v>
      </c>
      <c r="B556" t="s">
        <v>1971</v>
      </c>
      <c r="C556" t="s">
        <v>1972</v>
      </c>
      <c r="D556" t="s">
        <v>15</v>
      </c>
      <c r="E556">
        <v>23</v>
      </c>
      <c r="F556" t="str">
        <f t="shared" si="16"/>
        <v>Teenager</v>
      </c>
      <c r="G556" t="s">
        <v>1973</v>
      </c>
      <c r="H556" t="str">
        <f t="shared" si="17"/>
        <v>Oct</v>
      </c>
      <c r="I556" t="s">
        <v>48</v>
      </c>
      <c r="J556" t="s">
        <v>40</v>
      </c>
      <c r="K556" t="s">
        <v>1974</v>
      </c>
      <c r="L556" t="s">
        <v>20</v>
      </c>
      <c r="M556" t="s">
        <v>34</v>
      </c>
      <c r="N556">
        <v>1</v>
      </c>
      <c r="O556" t="s">
        <v>22</v>
      </c>
      <c r="P556">
        <v>3256.62</v>
      </c>
      <c r="Q556" t="s">
        <v>74</v>
      </c>
      <c r="R556" t="s">
        <v>75</v>
      </c>
      <c r="S556">
        <v>226001</v>
      </c>
      <c r="T556" t="s">
        <v>25</v>
      </c>
      <c r="U556" t="s">
        <v>44</v>
      </c>
    </row>
    <row r="557" spans="1:21" x14ac:dyDescent="0.3">
      <c r="A557">
        <v>556</v>
      </c>
      <c r="B557" t="s">
        <v>1975</v>
      </c>
      <c r="C557" t="s">
        <v>1910</v>
      </c>
      <c r="D557" t="s">
        <v>15</v>
      </c>
      <c r="E557">
        <v>45</v>
      </c>
      <c r="F557" t="str">
        <f t="shared" si="16"/>
        <v>Adult</v>
      </c>
      <c r="G557" t="s">
        <v>1976</v>
      </c>
      <c r="H557" t="str">
        <f t="shared" si="17"/>
        <v>Sep</v>
      </c>
      <c r="I557" t="s">
        <v>17</v>
      </c>
      <c r="J557" t="s">
        <v>40</v>
      </c>
      <c r="K557" t="s">
        <v>1977</v>
      </c>
      <c r="L557" t="s">
        <v>107</v>
      </c>
      <c r="M557" t="s">
        <v>21</v>
      </c>
      <c r="N557">
        <v>3</v>
      </c>
      <c r="O557" t="s">
        <v>22</v>
      </c>
      <c r="P557">
        <v>4084.45</v>
      </c>
      <c r="Q557" t="s">
        <v>74</v>
      </c>
      <c r="R557" t="s">
        <v>75</v>
      </c>
      <c r="S557">
        <v>226001</v>
      </c>
      <c r="T557" t="s">
        <v>25</v>
      </c>
      <c r="U557" t="s">
        <v>44</v>
      </c>
    </row>
    <row r="558" spans="1:21" x14ac:dyDescent="0.3">
      <c r="A558">
        <v>557</v>
      </c>
      <c r="B558" t="s">
        <v>1978</v>
      </c>
      <c r="C558" t="s">
        <v>1979</v>
      </c>
      <c r="D558" t="s">
        <v>29</v>
      </c>
      <c r="E558">
        <v>21</v>
      </c>
      <c r="F558" t="str">
        <f t="shared" si="16"/>
        <v>Teenager</v>
      </c>
      <c r="G558" t="s">
        <v>1681</v>
      </c>
      <c r="H558" t="str">
        <f t="shared" si="17"/>
        <v>Mar</v>
      </c>
      <c r="I558" t="s">
        <v>17</v>
      </c>
      <c r="J558" t="s">
        <v>40</v>
      </c>
      <c r="K558" t="s">
        <v>1980</v>
      </c>
      <c r="L558" t="s">
        <v>73</v>
      </c>
      <c r="M558" t="s">
        <v>21</v>
      </c>
      <c r="N558">
        <v>3</v>
      </c>
      <c r="O558" t="s">
        <v>22</v>
      </c>
      <c r="P558">
        <v>641.82000000000005</v>
      </c>
      <c r="Q558" t="s">
        <v>35</v>
      </c>
      <c r="R558" t="s">
        <v>36</v>
      </c>
      <c r="S558">
        <v>560001</v>
      </c>
      <c r="T558" t="s">
        <v>25</v>
      </c>
      <c r="U558" t="s">
        <v>44</v>
      </c>
    </row>
    <row r="559" spans="1:21" x14ac:dyDescent="0.3">
      <c r="A559">
        <v>558</v>
      </c>
      <c r="B559" t="s">
        <v>1981</v>
      </c>
      <c r="C559" t="s">
        <v>1982</v>
      </c>
      <c r="D559" t="s">
        <v>29</v>
      </c>
      <c r="E559">
        <v>41</v>
      </c>
      <c r="F559" t="str">
        <f t="shared" si="16"/>
        <v>Adult</v>
      </c>
      <c r="G559" t="s">
        <v>1983</v>
      </c>
      <c r="H559" t="str">
        <f t="shared" si="17"/>
        <v>Jul</v>
      </c>
      <c r="I559" t="s">
        <v>17</v>
      </c>
      <c r="J559" t="s">
        <v>40</v>
      </c>
      <c r="K559" t="s">
        <v>1984</v>
      </c>
      <c r="L559" t="s">
        <v>62</v>
      </c>
      <c r="M559" t="s">
        <v>34</v>
      </c>
      <c r="N559">
        <v>3</v>
      </c>
      <c r="O559" t="s">
        <v>22</v>
      </c>
      <c r="P559">
        <v>3364.47</v>
      </c>
      <c r="Q559" t="s">
        <v>51</v>
      </c>
      <c r="R559" t="s">
        <v>51</v>
      </c>
      <c r="S559">
        <v>110001</v>
      </c>
      <c r="T559" t="s">
        <v>25</v>
      </c>
      <c r="U559" t="s">
        <v>44</v>
      </c>
    </row>
    <row r="560" spans="1:21" x14ac:dyDescent="0.3">
      <c r="A560">
        <v>559</v>
      </c>
      <c r="B560" t="s">
        <v>1985</v>
      </c>
      <c r="C560" t="s">
        <v>1986</v>
      </c>
      <c r="D560" t="s">
        <v>15</v>
      </c>
      <c r="E560">
        <v>54</v>
      </c>
      <c r="F560" t="str">
        <f t="shared" si="16"/>
        <v>Senior</v>
      </c>
      <c r="G560" t="s">
        <v>853</v>
      </c>
      <c r="H560" t="str">
        <f t="shared" si="17"/>
        <v>Jan</v>
      </c>
      <c r="I560" t="s">
        <v>70</v>
      </c>
      <c r="J560" t="s">
        <v>40</v>
      </c>
      <c r="K560" t="s">
        <v>1987</v>
      </c>
      <c r="L560" t="s">
        <v>107</v>
      </c>
      <c r="M560" t="s">
        <v>21</v>
      </c>
      <c r="N560">
        <v>1</v>
      </c>
      <c r="O560" t="s">
        <v>22</v>
      </c>
      <c r="P560">
        <v>3194.28</v>
      </c>
      <c r="Q560" t="s">
        <v>74</v>
      </c>
      <c r="R560" t="s">
        <v>51</v>
      </c>
      <c r="S560">
        <v>226001</v>
      </c>
      <c r="T560" t="s">
        <v>25</v>
      </c>
      <c r="U560" t="s">
        <v>26</v>
      </c>
    </row>
    <row r="561" spans="1:21" x14ac:dyDescent="0.3">
      <c r="A561">
        <v>560</v>
      </c>
      <c r="B561" t="s">
        <v>1988</v>
      </c>
      <c r="C561" t="s">
        <v>1989</v>
      </c>
      <c r="D561" t="s">
        <v>15</v>
      </c>
      <c r="E561">
        <v>26</v>
      </c>
      <c r="F561" t="str">
        <f t="shared" si="16"/>
        <v>Teenager</v>
      </c>
      <c r="G561" t="s">
        <v>1990</v>
      </c>
      <c r="H561" t="str">
        <f t="shared" si="17"/>
        <v>Jul</v>
      </c>
      <c r="I561" t="s">
        <v>60</v>
      </c>
      <c r="J561" t="s">
        <v>40</v>
      </c>
      <c r="K561" t="s">
        <v>1991</v>
      </c>
      <c r="L561" t="s">
        <v>20</v>
      </c>
      <c r="M561" t="s">
        <v>34</v>
      </c>
      <c r="N561">
        <v>3</v>
      </c>
      <c r="O561" t="s">
        <v>22</v>
      </c>
      <c r="P561">
        <v>1517.58</v>
      </c>
      <c r="Q561" t="s">
        <v>23</v>
      </c>
      <c r="R561" t="s">
        <v>51</v>
      </c>
      <c r="S561">
        <v>400001</v>
      </c>
      <c r="T561" t="s">
        <v>25</v>
      </c>
      <c r="U561" t="s">
        <v>26</v>
      </c>
    </row>
    <row r="562" spans="1:21" x14ac:dyDescent="0.3">
      <c r="A562">
        <v>561</v>
      </c>
      <c r="B562" t="s">
        <v>1992</v>
      </c>
      <c r="C562" t="s">
        <v>1993</v>
      </c>
      <c r="D562" t="s">
        <v>29</v>
      </c>
      <c r="E562">
        <v>18</v>
      </c>
      <c r="F562" t="str">
        <f t="shared" si="16"/>
        <v>Teenager</v>
      </c>
      <c r="G562" t="s">
        <v>1926</v>
      </c>
      <c r="H562" t="str">
        <f t="shared" si="17"/>
        <v>Jun</v>
      </c>
      <c r="I562" t="s">
        <v>60</v>
      </c>
      <c r="J562" t="s">
        <v>40</v>
      </c>
      <c r="K562" t="s">
        <v>1994</v>
      </c>
      <c r="L562" t="s">
        <v>56</v>
      </c>
      <c r="M562" t="s">
        <v>50</v>
      </c>
      <c r="N562">
        <v>4</v>
      </c>
      <c r="O562" t="s">
        <v>22</v>
      </c>
      <c r="P562">
        <v>4251.88</v>
      </c>
      <c r="Q562" t="s">
        <v>42</v>
      </c>
      <c r="R562" t="s">
        <v>51</v>
      </c>
      <c r="S562">
        <v>302001</v>
      </c>
      <c r="T562" t="s">
        <v>25</v>
      </c>
      <c r="U562" t="s">
        <v>44</v>
      </c>
    </row>
    <row r="563" spans="1:21" x14ac:dyDescent="0.3">
      <c r="A563">
        <v>562</v>
      </c>
      <c r="B563" t="s">
        <v>1995</v>
      </c>
      <c r="C563" t="s">
        <v>1996</v>
      </c>
      <c r="D563" t="s">
        <v>15</v>
      </c>
      <c r="E563">
        <v>19</v>
      </c>
      <c r="F563" t="str">
        <f t="shared" si="16"/>
        <v>Teenager</v>
      </c>
      <c r="G563" t="s">
        <v>674</v>
      </c>
      <c r="H563" t="str">
        <f t="shared" si="17"/>
        <v>Jun</v>
      </c>
      <c r="I563" t="s">
        <v>17</v>
      </c>
      <c r="J563" t="s">
        <v>40</v>
      </c>
      <c r="K563" t="s">
        <v>1997</v>
      </c>
      <c r="L563" t="s">
        <v>73</v>
      </c>
      <c r="M563" t="s">
        <v>34</v>
      </c>
      <c r="N563">
        <v>3</v>
      </c>
      <c r="O563" t="s">
        <v>22</v>
      </c>
      <c r="P563">
        <v>1098.8699999999999</v>
      </c>
      <c r="Q563" t="s">
        <v>23</v>
      </c>
      <c r="R563" t="s">
        <v>51</v>
      </c>
      <c r="S563">
        <v>400001</v>
      </c>
      <c r="T563" t="s">
        <v>25</v>
      </c>
      <c r="U563" t="s">
        <v>44</v>
      </c>
    </row>
    <row r="564" spans="1:21" x14ac:dyDescent="0.3">
      <c r="A564">
        <v>563</v>
      </c>
      <c r="B564" t="s">
        <v>1998</v>
      </c>
      <c r="C564" t="s">
        <v>1999</v>
      </c>
      <c r="D564" t="s">
        <v>15</v>
      </c>
      <c r="E564">
        <v>44</v>
      </c>
      <c r="F564" t="str">
        <f t="shared" si="16"/>
        <v>Adult</v>
      </c>
      <c r="G564" t="s">
        <v>1569</v>
      </c>
      <c r="H564" t="str">
        <f t="shared" si="17"/>
        <v>Mar</v>
      </c>
      <c r="I564" t="s">
        <v>48</v>
      </c>
      <c r="J564" t="s">
        <v>71</v>
      </c>
      <c r="K564" t="s">
        <v>2000</v>
      </c>
      <c r="L564" t="s">
        <v>33</v>
      </c>
      <c r="M564" t="s">
        <v>34</v>
      </c>
      <c r="N564">
        <v>3</v>
      </c>
      <c r="O564" t="s">
        <v>22</v>
      </c>
      <c r="P564">
        <v>1002.42</v>
      </c>
      <c r="Q564" t="s">
        <v>74</v>
      </c>
      <c r="R564" t="s">
        <v>51</v>
      </c>
      <c r="S564">
        <v>226001</v>
      </c>
      <c r="T564" t="s">
        <v>25</v>
      </c>
      <c r="U564" t="s">
        <v>44</v>
      </c>
    </row>
    <row r="565" spans="1:21" x14ac:dyDescent="0.3">
      <c r="A565">
        <v>564</v>
      </c>
      <c r="B565" t="s">
        <v>2001</v>
      </c>
      <c r="C565" t="s">
        <v>2002</v>
      </c>
      <c r="D565" t="s">
        <v>15</v>
      </c>
      <c r="E565">
        <v>50</v>
      </c>
      <c r="F565" t="str">
        <f t="shared" si="16"/>
        <v>Senior</v>
      </c>
      <c r="G565" t="s">
        <v>1412</v>
      </c>
      <c r="H565" t="str">
        <f t="shared" si="17"/>
        <v>Jul</v>
      </c>
      <c r="I565" t="s">
        <v>17</v>
      </c>
      <c r="J565" t="s">
        <v>71</v>
      </c>
      <c r="K565" t="s">
        <v>2003</v>
      </c>
      <c r="L565" t="s">
        <v>107</v>
      </c>
      <c r="M565" t="s">
        <v>85</v>
      </c>
      <c r="N565">
        <v>5</v>
      </c>
      <c r="O565" t="s">
        <v>22</v>
      </c>
      <c r="P565">
        <v>1934.66</v>
      </c>
      <c r="Q565" t="s">
        <v>35</v>
      </c>
      <c r="R565" t="s">
        <v>51</v>
      </c>
      <c r="S565">
        <v>560001</v>
      </c>
      <c r="T565" t="s">
        <v>25</v>
      </c>
      <c r="U565" t="s">
        <v>26</v>
      </c>
    </row>
    <row r="566" spans="1:21" x14ac:dyDescent="0.3">
      <c r="A566">
        <v>565</v>
      </c>
      <c r="B566" t="s">
        <v>2004</v>
      </c>
      <c r="C566" t="s">
        <v>2005</v>
      </c>
      <c r="D566" t="s">
        <v>15</v>
      </c>
      <c r="E566">
        <v>35</v>
      </c>
      <c r="F566" t="str">
        <f t="shared" si="16"/>
        <v>Adult</v>
      </c>
      <c r="G566" t="s">
        <v>1915</v>
      </c>
      <c r="H566" t="str">
        <f t="shared" si="17"/>
        <v>Dec</v>
      </c>
      <c r="I566" t="s">
        <v>17</v>
      </c>
      <c r="J566" t="s">
        <v>31</v>
      </c>
      <c r="K566" t="s">
        <v>2006</v>
      </c>
      <c r="L566" t="s">
        <v>33</v>
      </c>
      <c r="M566" t="s">
        <v>21</v>
      </c>
      <c r="N566">
        <v>5</v>
      </c>
      <c r="O566" t="s">
        <v>22</v>
      </c>
      <c r="P566">
        <v>2054.2800000000002</v>
      </c>
      <c r="Q566" t="s">
        <v>23</v>
      </c>
      <c r="R566" t="s">
        <v>51</v>
      </c>
      <c r="S566">
        <v>400001</v>
      </c>
      <c r="T566" t="s">
        <v>25</v>
      </c>
      <c r="U566" t="s">
        <v>44</v>
      </c>
    </row>
    <row r="567" spans="1:21" x14ac:dyDescent="0.3">
      <c r="A567">
        <v>566</v>
      </c>
      <c r="B567" t="s">
        <v>2007</v>
      </c>
      <c r="C567" t="s">
        <v>2008</v>
      </c>
      <c r="D567" t="s">
        <v>15</v>
      </c>
      <c r="E567">
        <v>60</v>
      </c>
      <c r="F567" t="str">
        <f t="shared" si="16"/>
        <v>Senior</v>
      </c>
      <c r="G567" t="s">
        <v>2009</v>
      </c>
      <c r="H567" t="str">
        <f t="shared" si="17"/>
        <v>Oct</v>
      </c>
      <c r="I567" t="s">
        <v>17</v>
      </c>
      <c r="J567" t="s">
        <v>18</v>
      </c>
      <c r="K567" t="s">
        <v>2010</v>
      </c>
      <c r="L567" t="s">
        <v>107</v>
      </c>
      <c r="M567" t="s">
        <v>85</v>
      </c>
      <c r="N567">
        <v>2</v>
      </c>
      <c r="O567" t="s">
        <v>22</v>
      </c>
      <c r="P567">
        <v>1354.45</v>
      </c>
      <c r="Q567" t="s">
        <v>51</v>
      </c>
      <c r="R567" t="s">
        <v>51</v>
      </c>
      <c r="S567">
        <v>110001</v>
      </c>
      <c r="T567" t="s">
        <v>25</v>
      </c>
      <c r="U567" t="s">
        <v>44</v>
      </c>
    </row>
    <row r="568" spans="1:21" x14ac:dyDescent="0.3">
      <c r="A568">
        <v>567</v>
      </c>
      <c r="B568" t="s">
        <v>2011</v>
      </c>
      <c r="C568" t="s">
        <v>2012</v>
      </c>
      <c r="D568" t="s">
        <v>29</v>
      </c>
      <c r="E568">
        <v>27</v>
      </c>
      <c r="F568" t="str">
        <f t="shared" si="16"/>
        <v>Teenager</v>
      </c>
      <c r="G568" t="s">
        <v>1008</v>
      </c>
      <c r="H568" t="str">
        <f t="shared" si="17"/>
        <v>Sep</v>
      </c>
      <c r="I568" t="s">
        <v>70</v>
      </c>
      <c r="J568" t="s">
        <v>101</v>
      </c>
      <c r="K568" t="s">
        <v>2013</v>
      </c>
      <c r="L568" t="s">
        <v>56</v>
      </c>
      <c r="M568" t="s">
        <v>34</v>
      </c>
      <c r="N568">
        <v>3</v>
      </c>
      <c r="O568" t="s">
        <v>22</v>
      </c>
      <c r="P568">
        <v>4039.98</v>
      </c>
      <c r="Q568" t="s">
        <v>74</v>
      </c>
      <c r="R568" t="s">
        <v>51</v>
      </c>
      <c r="S568">
        <v>226001</v>
      </c>
      <c r="T568" t="s">
        <v>25</v>
      </c>
      <c r="U568" t="s">
        <v>26</v>
      </c>
    </row>
    <row r="569" spans="1:21" x14ac:dyDescent="0.3">
      <c r="A569">
        <v>568</v>
      </c>
      <c r="B569" t="s">
        <v>2014</v>
      </c>
      <c r="C569" t="s">
        <v>2015</v>
      </c>
      <c r="D569" t="s">
        <v>29</v>
      </c>
      <c r="E569">
        <v>37</v>
      </c>
      <c r="F569" t="str">
        <f t="shared" si="16"/>
        <v>Adult</v>
      </c>
      <c r="G569" t="s">
        <v>802</v>
      </c>
      <c r="H569" t="str">
        <f t="shared" si="17"/>
        <v>Oct</v>
      </c>
      <c r="I569" t="s">
        <v>70</v>
      </c>
      <c r="J569" t="s">
        <v>31</v>
      </c>
      <c r="K569" t="s">
        <v>2016</v>
      </c>
      <c r="L569" t="s">
        <v>62</v>
      </c>
      <c r="M569" t="s">
        <v>21</v>
      </c>
      <c r="N569">
        <v>5</v>
      </c>
      <c r="O569" t="s">
        <v>22</v>
      </c>
      <c r="P569">
        <v>1774.51</v>
      </c>
      <c r="Q569" t="s">
        <v>23</v>
      </c>
      <c r="R569" t="s">
        <v>51</v>
      </c>
      <c r="S569">
        <v>400001</v>
      </c>
      <c r="T569" t="s">
        <v>25</v>
      </c>
      <c r="U569" t="s">
        <v>44</v>
      </c>
    </row>
    <row r="570" spans="1:21" x14ac:dyDescent="0.3">
      <c r="A570">
        <v>569</v>
      </c>
      <c r="B570" t="s">
        <v>2017</v>
      </c>
      <c r="C570" t="s">
        <v>2018</v>
      </c>
      <c r="D570" t="s">
        <v>15</v>
      </c>
      <c r="E570">
        <v>42</v>
      </c>
      <c r="F570" t="str">
        <f t="shared" si="16"/>
        <v>Adult</v>
      </c>
      <c r="G570" t="s">
        <v>143</v>
      </c>
      <c r="H570" t="str">
        <f t="shared" si="17"/>
        <v>Dec</v>
      </c>
      <c r="I570" t="s">
        <v>60</v>
      </c>
      <c r="J570" t="s">
        <v>71</v>
      </c>
      <c r="K570" t="s">
        <v>2019</v>
      </c>
      <c r="L570" t="s">
        <v>33</v>
      </c>
      <c r="M570" t="s">
        <v>85</v>
      </c>
      <c r="N570">
        <v>3</v>
      </c>
      <c r="O570" t="s">
        <v>22</v>
      </c>
      <c r="P570">
        <v>4097.78</v>
      </c>
      <c r="Q570" t="s">
        <v>35</v>
      </c>
      <c r="R570" t="s">
        <v>51</v>
      </c>
      <c r="S570">
        <v>560001</v>
      </c>
      <c r="T570" t="s">
        <v>25</v>
      </c>
      <c r="U570" t="s">
        <v>44</v>
      </c>
    </row>
    <row r="571" spans="1:21" x14ac:dyDescent="0.3">
      <c r="A571">
        <v>570</v>
      </c>
      <c r="B571" t="s">
        <v>2020</v>
      </c>
      <c r="C571" t="s">
        <v>2021</v>
      </c>
      <c r="D571" t="s">
        <v>29</v>
      </c>
      <c r="E571">
        <v>58</v>
      </c>
      <c r="F571" t="str">
        <f t="shared" si="16"/>
        <v>Senior</v>
      </c>
      <c r="G571" t="s">
        <v>653</v>
      </c>
      <c r="H571" t="str">
        <f t="shared" si="17"/>
        <v>Nov</v>
      </c>
      <c r="I571" t="s">
        <v>60</v>
      </c>
      <c r="J571" t="s">
        <v>101</v>
      </c>
      <c r="K571" t="s">
        <v>2022</v>
      </c>
      <c r="L571" t="s">
        <v>33</v>
      </c>
      <c r="M571" t="s">
        <v>50</v>
      </c>
      <c r="N571">
        <v>3</v>
      </c>
      <c r="O571" t="s">
        <v>22</v>
      </c>
      <c r="P571">
        <v>362.87</v>
      </c>
      <c r="Q571" t="s">
        <v>74</v>
      </c>
      <c r="R571" t="s">
        <v>51</v>
      </c>
      <c r="S571">
        <v>226001</v>
      </c>
      <c r="T571" t="s">
        <v>25</v>
      </c>
      <c r="U571" t="s">
        <v>26</v>
      </c>
    </row>
    <row r="572" spans="1:21" x14ac:dyDescent="0.3">
      <c r="A572">
        <v>571</v>
      </c>
      <c r="B572" t="s">
        <v>2023</v>
      </c>
      <c r="C572" t="s">
        <v>491</v>
      </c>
      <c r="D572" t="s">
        <v>29</v>
      </c>
      <c r="E572">
        <v>27</v>
      </c>
      <c r="F572" t="str">
        <f t="shared" si="16"/>
        <v>Teenager</v>
      </c>
      <c r="G572" t="s">
        <v>1457</v>
      </c>
      <c r="H572" t="str">
        <f t="shared" si="17"/>
        <v>Mar</v>
      </c>
      <c r="I572" t="s">
        <v>60</v>
      </c>
      <c r="J572" t="s">
        <v>18</v>
      </c>
      <c r="K572" t="s">
        <v>2024</v>
      </c>
      <c r="L572" t="s">
        <v>62</v>
      </c>
      <c r="M572" t="s">
        <v>85</v>
      </c>
      <c r="N572">
        <v>2</v>
      </c>
      <c r="O572" t="s">
        <v>22</v>
      </c>
      <c r="P572">
        <v>2513.5100000000002</v>
      </c>
      <c r="Q572" t="s">
        <v>74</v>
      </c>
      <c r="R572" t="s">
        <v>51</v>
      </c>
      <c r="S572">
        <v>226001</v>
      </c>
      <c r="T572" t="s">
        <v>25</v>
      </c>
      <c r="U572" t="s">
        <v>26</v>
      </c>
    </row>
    <row r="573" spans="1:21" x14ac:dyDescent="0.3">
      <c r="A573">
        <v>572</v>
      </c>
      <c r="B573" t="s">
        <v>2025</v>
      </c>
      <c r="C573" t="s">
        <v>2026</v>
      </c>
      <c r="D573" t="s">
        <v>15</v>
      </c>
      <c r="E573">
        <v>20</v>
      </c>
      <c r="F573" t="str">
        <f t="shared" si="16"/>
        <v>Teenager</v>
      </c>
      <c r="G573" t="s">
        <v>183</v>
      </c>
      <c r="H573" t="str">
        <f t="shared" si="17"/>
        <v>Jul</v>
      </c>
      <c r="I573" t="s">
        <v>60</v>
      </c>
      <c r="J573" t="s">
        <v>31</v>
      </c>
      <c r="K573" t="s">
        <v>2027</v>
      </c>
      <c r="L573" t="s">
        <v>73</v>
      </c>
      <c r="M573" t="s">
        <v>50</v>
      </c>
      <c r="N573">
        <v>1</v>
      </c>
      <c r="O573" t="s">
        <v>22</v>
      </c>
      <c r="P573">
        <v>4079.68</v>
      </c>
      <c r="Q573" t="s">
        <v>51</v>
      </c>
      <c r="R573" t="s">
        <v>51</v>
      </c>
      <c r="S573">
        <v>110001</v>
      </c>
      <c r="T573" t="s">
        <v>25</v>
      </c>
      <c r="U573" t="s">
        <v>26</v>
      </c>
    </row>
    <row r="574" spans="1:21" x14ac:dyDescent="0.3">
      <c r="A574">
        <v>573</v>
      </c>
      <c r="B574" t="s">
        <v>2028</v>
      </c>
      <c r="C574" t="s">
        <v>2029</v>
      </c>
      <c r="D574" t="s">
        <v>29</v>
      </c>
      <c r="E574">
        <v>40</v>
      </c>
      <c r="F574" t="str">
        <f t="shared" si="16"/>
        <v>Adult</v>
      </c>
      <c r="G574" t="s">
        <v>1260</v>
      </c>
      <c r="H574" t="str">
        <f t="shared" si="17"/>
        <v>Oct</v>
      </c>
      <c r="I574" t="s">
        <v>60</v>
      </c>
      <c r="J574" t="s">
        <v>18</v>
      </c>
      <c r="K574" t="s">
        <v>2030</v>
      </c>
      <c r="L574" t="s">
        <v>73</v>
      </c>
      <c r="M574" t="s">
        <v>34</v>
      </c>
      <c r="N574">
        <v>1</v>
      </c>
      <c r="O574" t="s">
        <v>22</v>
      </c>
      <c r="P574">
        <v>3290.24</v>
      </c>
      <c r="Q574" t="s">
        <v>42</v>
      </c>
      <c r="R574" t="s">
        <v>43</v>
      </c>
      <c r="S574">
        <v>302001</v>
      </c>
      <c r="T574" t="s">
        <v>25</v>
      </c>
      <c r="U574" t="s">
        <v>44</v>
      </c>
    </row>
    <row r="575" spans="1:21" x14ac:dyDescent="0.3">
      <c r="A575">
        <v>574</v>
      </c>
      <c r="B575" t="s">
        <v>2031</v>
      </c>
      <c r="C575" t="s">
        <v>777</v>
      </c>
      <c r="D575" t="s">
        <v>29</v>
      </c>
      <c r="E575">
        <v>43</v>
      </c>
      <c r="F575" t="str">
        <f t="shared" si="16"/>
        <v>Adult</v>
      </c>
      <c r="G575" t="s">
        <v>572</v>
      </c>
      <c r="H575" t="str">
        <f t="shared" si="17"/>
        <v>Jan</v>
      </c>
      <c r="I575" t="s">
        <v>60</v>
      </c>
      <c r="J575" t="s">
        <v>79</v>
      </c>
      <c r="K575" t="s">
        <v>2032</v>
      </c>
      <c r="L575" t="s">
        <v>62</v>
      </c>
      <c r="M575" t="s">
        <v>34</v>
      </c>
      <c r="N575">
        <v>3</v>
      </c>
      <c r="O575" t="s">
        <v>22</v>
      </c>
      <c r="P575">
        <v>573.91999999999996</v>
      </c>
      <c r="Q575" t="s">
        <v>74</v>
      </c>
      <c r="R575" t="s">
        <v>43</v>
      </c>
      <c r="S575">
        <v>226001</v>
      </c>
      <c r="T575" t="s">
        <v>25</v>
      </c>
      <c r="U575" t="s">
        <v>26</v>
      </c>
    </row>
    <row r="576" spans="1:21" x14ac:dyDescent="0.3">
      <c r="A576">
        <v>575</v>
      </c>
      <c r="B576" t="s">
        <v>2033</v>
      </c>
      <c r="C576" t="s">
        <v>2034</v>
      </c>
      <c r="D576" t="s">
        <v>29</v>
      </c>
      <c r="E576">
        <v>50</v>
      </c>
      <c r="F576" t="str">
        <f t="shared" si="16"/>
        <v>Senior</v>
      </c>
      <c r="G576" t="s">
        <v>924</v>
      </c>
      <c r="H576" t="str">
        <f t="shared" si="17"/>
        <v>Jun</v>
      </c>
      <c r="I576" t="s">
        <v>60</v>
      </c>
      <c r="J576" t="s">
        <v>101</v>
      </c>
      <c r="K576" t="s">
        <v>2035</v>
      </c>
      <c r="L576" t="s">
        <v>20</v>
      </c>
      <c r="M576" t="s">
        <v>50</v>
      </c>
      <c r="N576">
        <v>4</v>
      </c>
      <c r="O576" t="s">
        <v>22</v>
      </c>
      <c r="P576">
        <v>4291.7299999999996</v>
      </c>
      <c r="Q576" t="s">
        <v>74</v>
      </c>
      <c r="R576" t="s">
        <v>43</v>
      </c>
      <c r="S576">
        <v>226001</v>
      </c>
      <c r="T576" t="s">
        <v>25</v>
      </c>
      <c r="U576" t="s">
        <v>26</v>
      </c>
    </row>
    <row r="577" spans="1:21" x14ac:dyDescent="0.3">
      <c r="A577">
        <v>576</v>
      </c>
      <c r="B577" t="s">
        <v>2036</v>
      </c>
      <c r="C577" t="s">
        <v>2037</v>
      </c>
      <c r="D577" t="s">
        <v>29</v>
      </c>
      <c r="E577">
        <v>56</v>
      </c>
      <c r="F577" t="str">
        <f t="shared" si="16"/>
        <v>Senior</v>
      </c>
      <c r="G577" t="s">
        <v>1189</v>
      </c>
      <c r="H577" t="str">
        <f t="shared" si="17"/>
        <v>Feb</v>
      </c>
      <c r="I577" t="s">
        <v>60</v>
      </c>
      <c r="J577" t="s">
        <v>79</v>
      </c>
      <c r="K577" t="s">
        <v>2038</v>
      </c>
      <c r="L577" t="s">
        <v>73</v>
      </c>
      <c r="M577" t="s">
        <v>50</v>
      </c>
      <c r="N577">
        <v>3</v>
      </c>
      <c r="O577" t="s">
        <v>22</v>
      </c>
      <c r="P577">
        <v>4386.63</v>
      </c>
      <c r="Q577" t="s">
        <v>51</v>
      </c>
      <c r="R577" t="s">
        <v>43</v>
      </c>
      <c r="S577">
        <v>110001</v>
      </c>
      <c r="T577" t="s">
        <v>25</v>
      </c>
      <c r="U577" t="s">
        <v>26</v>
      </c>
    </row>
    <row r="578" spans="1:21" x14ac:dyDescent="0.3">
      <c r="A578">
        <v>577</v>
      </c>
      <c r="B578" t="s">
        <v>2039</v>
      </c>
      <c r="C578" t="s">
        <v>2040</v>
      </c>
      <c r="D578" t="s">
        <v>15</v>
      </c>
      <c r="E578">
        <v>53</v>
      </c>
      <c r="F578" t="str">
        <f t="shared" si="16"/>
        <v>Senior</v>
      </c>
      <c r="G578" t="s">
        <v>2041</v>
      </c>
      <c r="H578" t="str">
        <f t="shared" si="17"/>
        <v>Aug</v>
      </c>
      <c r="I578" t="s">
        <v>60</v>
      </c>
      <c r="J578" t="s">
        <v>40</v>
      </c>
      <c r="K578" t="s">
        <v>2042</v>
      </c>
      <c r="L578" t="s">
        <v>73</v>
      </c>
      <c r="M578" t="s">
        <v>85</v>
      </c>
      <c r="N578">
        <v>1</v>
      </c>
      <c r="O578" t="s">
        <v>22</v>
      </c>
      <c r="P578">
        <v>1291.6300000000001</v>
      </c>
      <c r="Q578" t="s">
        <v>23</v>
      </c>
      <c r="R578" t="s">
        <v>43</v>
      </c>
      <c r="S578">
        <v>400001</v>
      </c>
      <c r="T578" t="s">
        <v>25</v>
      </c>
      <c r="U578" t="s">
        <v>44</v>
      </c>
    </row>
    <row r="579" spans="1:21" x14ac:dyDescent="0.3">
      <c r="A579">
        <v>578</v>
      </c>
      <c r="B579" t="s">
        <v>2043</v>
      </c>
      <c r="C579" t="s">
        <v>2044</v>
      </c>
      <c r="D579" t="s">
        <v>15</v>
      </c>
      <c r="E579">
        <v>44</v>
      </c>
      <c r="F579" t="str">
        <f t="shared" ref="F579:F642" si="18">IF(E579&gt;=50,"Senior", IF(E579&gt;=30, "Adult","Teenager"))</f>
        <v>Adult</v>
      </c>
      <c r="G579" t="s">
        <v>2045</v>
      </c>
      <c r="H579" t="str">
        <f t="shared" ref="H579:H642" si="19">TEXT(G579,"MMM")</f>
        <v>Apr</v>
      </c>
      <c r="I579" t="s">
        <v>60</v>
      </c>
      <c r="J579" t="s">
        <v>40</v>
      </c>
      <c r="K579" t="s">
        <v>2046</v>
      </c>
      <c r="L579" t="s">
        <v>73</v>
      </c>
      <c r="M579" t="s">
        <v>21</v>
      </c>
      <c r="N579">
        <v>2</v>
      </c>
      <c r="O579" t="s">
        <v>22</v>
      </c>
      <c r="P579">
        <v>4813.99</v>
      </c>
      <c r="Q579" t="s">
        <v>51</v>
      </c>
      <c r="R579" t="s">
        <v>43</v>
      </c>
      <c r="S579">
        <v>110001</v>
      </c>
      <c r="T579" t="s">
        <v>25</v>
      </c>
      <c r="U579" t="s">
        <v>26</v>
      </c>
    </row>
    <row r="580" spans="1:21" x14ac:dyDescent="0.3">
      <c r="A580">
        <v>579</v>
      </c>
      <c r="B580" t="s">
        <v>2047</v>
      </c>
      <c r="C580" t="s">
        <v>2048</v>
      </c>
      <c r="D580" t="s">
        <v>29</v>
      </c>
      <c r="E580">
        <v>53</v>
      </c>
      <c r="F580" t="str">
        <f t="shared" si="18"/>
        <v>Senior</v>
      </c>
      <c r="G580" t="s">
        <v>2049</v>
      </c>
      <c r="H580" t="str">
        <f t="shared" si="19"/>
        <v>Feb</v>
      </c>
      <c r="I580" t="s">
        <v>60</v>
      </c>
      <c r="J580" t="s">
        <v>71</v>
      </c>
      <c r="K580" t="s">
        <v>2050</v>
      </c>
      <c r="L580" t="s">
        <v>107</v>
      </c>
      <c r="M580" t="s">
        <v>85</v>
      </c>
      <c r="N580">
        <v>5</v>
      </c>
      <c r="O580" t="s">
        <v>22</v>
      </c>
      <c r="P580">
        <v>4878.34</v>
      </c>
      <c r="Q580" t="s">
        <v>35</v>
      </c>
      <c r="R580" t="s">
        <v>43</v>
      </c>
      <c r="S580">
        <v>560001</v>
      </c>
      <c r="T580" t="s">
        <v>25</v>
      </c>
      <c r="U580" t="s">
        <v>26</v>
      </c>
    </row>
    <row r="581" spans="1:21" x14ac:dyDescent="0.3">
      <c r="A581">
        <v>580</v>
      </c>
      <c r="B581" t="s">
        <v>2051</v>
      </c>
      <c r="C581" t="s">
        <v>2052</v>
      </c>
      <c r="D581" t="s">
        <v>29</v>
      </c>
      <c r="E581">
        <v>34</v>
      </c>
      <c r="F581" t="str">
        <f t="shared" si="18"/>
        <v>Adult</v>
      </c>
      <c r="G581" t="s">
        <v>2053</v>
      </c>
      <c r="H581" t="str">
        <f t="shared" si="19"/>
        <v>Jul</v>
      </c>
      <c r="I581" t="s">
        <v>60</v>
      </c>
      <c r="J581" t="s">
        <v>79</v>
      </c>
      <c r="K581" t="s">
        <v>2054</v>
      </c>
      <c r="L581" t="s">
        <v>20</v>
      </c>
      <c r="M581" t="s">
        <v>21</v>
      </c>
      <c r="N581">
        <v>1</v>
      </c>
      <c r="O581" t="s">
        <v>22</v>
      </c>
      <c r="P581">
        <v>1486.05</v>
      </c>
      <c r="Q581" t="s">
        <v>51</v>
      </c>
      <c r="R581" t="s">
        <v>43</v>
      </c>
      <c r="S581">
        <v>110001</v>
      </c>
      <c r="T581" t="s">
        <v>25</v>
      </c>
      <c r="U581" t="s">
        <v>44</v>
      </c>
    </row>
    <row r="582" spans="1:21" x14ac:dyDescent="0.3">
      <c r="A582">
        <v>581</v>
      </c>
      <c r="B582" t="s">
        <v>2055</v>
      </c>
      <c r="C582" t="s">
        <v>2056</v>
      </c>
      <c r="D582" t="s">
        <v>15</v>
      </c>
      <c r="E582">
        <v>24</v>
      </c>
      <c r="F582" t="str">
        <f t="shared" si="18"/>
        <v>Teenager</v>
      </c>
      <c r="G582" t="s">
        <v>258</v>
      </c>
      <c r="H582" t="str">
        <f t="shared" si="19"/>
        <v>Mar</v>
      </c>
      <c r="I582" t="s">
        <v>60</v>
      </c>
      <c r="J582" t="s">
        <v>31</v>
      </c>
      <c r="K582" t="s">
        <v>2057</v>
      </c>
      <c r="L582" t="s">
        <v>73</v>
      </c>
      <c r="M582" t="s">
        <v>34</v>
      </c>
      <c r="N582">
        <v>3</v>
      </c>
      <c r="O582" t="s">
        <v>22</v>
      </c>
      <c r="P582">
        <v>1031.6099999999999</v>
      </c>
      <c r="Q582" t="s">
        <v>74</v>
      </c>
      <c r="R582" t="s">
        <v>43</v>
      </c>
      <c r="S582">
        <v>226001</v>
      </c>
      <c r="T582" t="s">
        <v>25</v>
      </c>
      <c r="U582" t="s">
        <v>26</v>
      </c>
    </row>
    <row r="583" spans="1:21" x14ac:dyDescent="0.3">
      <c r="A583">
        <v>582</v>
      </c>
      <c r="B583" t="s">
        <v>2058</v>
      </c>
      <c r="C583" t="s">
        <v>2059</v>
      </c>
      <c r="D583" t="s">
        <v>29</v>
      </c>
      <c r="E583">
        <v>58</v>
      </c>
      <c r="F583" t="str">
        <f t="shared" si="18"/>
        <v>Senior</v>
      </c>
      <c r="G583" t="s">
        <v>572</v>
      </c>
      <c r="H583" t="str">
        <f t="shared" si="19"/>
        <v>Jan</v>
      </c>
      <c r="I583" t="s">
        <v>60</v>
      </c>
      <c r="J583" t="s">
        <v>71</v>
      </c>
      <c r="K583" t="s">
        <v>2060</v>
      </c>
      <c r="L583" t="s">
        <v>20</v>
      </c>
      <c r="M583" t="s">
        <v>21</v>
      </c>
      <c r="N583">
        <v>3</v>
      </c>
      <c r="O583" t="s">
        <v>22</v>
      </c>
      <c r="P583">
        <v>4336.97</v>
      </c>
      <c r="Q583" t="s">
        <v>74</v>
      </c>
      <c r="R583" t="s">
        <v>43</v>
      </c>
      <c r="S583">
        <v>226001</v>
      </c>
      <c r="T583" t="s">
        <v>25</v>
      </c>
      <c r="U583" t="s">
        <v>26</v>
      </c>
    </row>
    <row r="584" spans="1:21" x14ac:dyDescent="0.3">
      <c r="A584">
        <v>583</v>
      </c>
      <c r="B584" t="s">
        <v>2061</v>
      </c>
      <c r="C584" t="s">
        <v>2062</v>
      </c>
      <c r="D584" t="s">
        <v>15</v>
      </c>
      <c r="E584">
        <v>42</v>
      </c>
      <c r="F584" t="str">
        <f t="shared" si="18"/>
        <v>Adult</v>
      </c>
      <c r="G584" t="s">
        <v>516</v>
      </c>
      <c r="H584" t="str">
        <f t="shared" si="19"/>
        <v>Nov</v>
      </c>
      <c r="I584" t="s">
        <v>60</v>
      </c>
      <c r="J584" t="s">
        <v>79</v>
      </c>
      <c r="K584" t="s">
        <v>2063</v>
      </c>
      <c r="L584" t="s">
        <v>107</v>
      </c>
      <c r="M584" t="s">
        <v>34</v>
      </c>
      <c r="N584">
        <v>3</v>
      </c>
      <c r="O584" t="s">
        <v>22</v>
      </c>
      <c r="P584">
        <v>2207.7399999999998</v>
      </c>
      <c r="Q584" t="s">
        <v>51</v>
      </c>
      <c r="R584" t="s">
        <v>43</v>
      </c>
      <c r="S584">
        <v>110001</v>
      </c>
      <c r="T584" t="s">
        <v>25</v>
      </c>
      <c r="U584" t="s">
        <v>44</v>
      </c>
    </row>
    <row r="585" spans="1:21" x14ac:dyDescent="0.3">
      <c r="A585">
        <v>584</v>
      </c>
      <c r="B585" t="s">
        <v>2064</v>
      </c>
      <c r="C585" t="s">
        <v>2065</v>
      </c>
      <c r="D585" t="s">
        <v>29</v>
      </c>
      <c r="E585">
        <v>43</v>
      </c>
      <c r="F585" t="str">
        <f t="shared" si="18"/>
        <v>Adult</v>
      </c>
      <c r="G585" t="s">
        <v>1405</v>
      </c>
      <c r="H585" t="str">
        <f t="shared" si="19"/>
        <v>Oct</v>
      </c>
      <c r="I585" t="s">
        <v>60</v>
      </c>
      <c r="J585" t="s">
        <v>31</v>
      </c>
      <c r="K585" t="s">
        <v>2066</v>
      </c>
      <c r="L585" t="s">
        <v>62</v>
      </c>
      <c r="M585" t="s">
        <v>21</v>
      </c>
      <c r="N585">
        <v>1</v>
      </c>
      <c r="O585" t="s">
        <v>22</v>
      </c>
      <c r="P585">
        <v>3765.59</v>
      </c>
      <c r="Q585" t="s">
        <v>23</v>
      </c>
      <c r="R585" t="s">
        <v>43</v>
      </c>
      <c r="S585">
        <v>400001</v>
      </c>
      <c r="T585" t="s">
        <v>25</v>
      </c>
      <c r="U585" t="s">
        <v>26</v>
      </c>
    </row>
    <row r="586" spans="1:21" x14ac:dyDescent="0.3">
      <c r="A586">
        <v>585</v>
      </c>
      <c r="B586" t="s">
        <v>2067</v>
      </c>
      <c r="C586" t="s">
        <v>2068</v>
      </c>
      <c r="D586" t="s">
        <v>15</v>
      </c>
      <c r="E586">
        <v>52</v>
      </c>
      <c r="F586" t="str">
        <f t="shared" si="18"/>
        <v>Senior</v>
      </c>
      <c r="G586" t="s">
        <v>1519</v>
      </c>
      <c r="H586" t="str">
        <f t="shared" si="19"/>
        <v>Dec</v>
      </c>
      <c r="I586" t="s">
        <v>60</v>
      </c>
      <c r="J586" t="s">
        <v>31</v>
      </c>
      <c r="K586" t="s">
        <v>2069</v>
      </c>
      <c r="L586" t="s">
        <v>20</v>
      </c>
      <c r="M586" t="s">
        <v>50</v>
      </c>
      <c r="N586">
        <v>1</v>
      </c>
      <c r="O586" t="s">
        <v>22</v>
      </c>
      <c r="P586">
        <v>4479.2299999999996</v>
      </c>
      <c r="Q586" t="s">
        <v>74</v>
      </c>
      <c r="R586" t="s">
        <v>43</v>
      </c>
      <c r="S586">
        <v>226001</v>
      </c>
      <c r="T586" t="s">
        <v>25</v>
      </c>
      <c r="U586" t="s">
        <v>26</v>
      </c>
    </row>
    <row r="587" spans="1:21" x14ac:dyDescent="0.3">
      <c r="A587">
        <v>586</v>
      </c>
      <c r="B587" t="s">
        <v>2070</v>
      </c>
      <c r="C587" t="s">
        <v>2071</v>
      </c>
      <c r="D587" t="s">
        <v>29</v>
      </c>
      <c r="E587">
        <v>22</v>
      </c>
      <c r="F587" t="str">
        <f t="shared" si="18"/>
        <v>Teenager</v>
      </c>
      <c r="G587" t="s">
        <v>415</v>
      </c>
      <c r="H587" t="str">
        <f t="shared" si="19"/>
        <v>Aug</v>
      </c>
      <c r="I587" t="s">
        <v>60</v>
      </c>
      <c r="J587" t="s">
        <v>31</v>
      </c>
      <c r="K587" t="s">
        <v>2072</v>
      </c>
      <c r="L587" t="s">
        <v>107</v>
      </c>
      <c r="M587" t="s">
        <v>85</v>
      </c>
      <c r="N587">
        <v>5</v>
      </c>
      <c r="O587" t="s">
        <v>22</v>
      </c>
      <c r="P587">
        <v>3128.45</v>
      </c>
      <c r="Q587" t="s">
        <v>51</v>
      </c>
      <c r="R587" t="s">
        <v>43</v>
      </c>
      <c r="S587">
        <v>110001</v>
      </c>
      <c r="T587" t="s">
        <v>25</v>
      </c>
      <c r="U587" t="s">
        <v>44</v>
      </c>
    </row>
    <row r="588" spans="1:21" x14ac:dyDescent="0.3">
      <c r="A588">
        <v>587</v>
      </c>
      <c r="B588" t="s">
        <v>2073</v>
      </c>
      <c r="C588" t="s">
        <v>2074</v>
      </c>
      <c r="D588" t="s">
        <v>29</v>
      </c>
      <c r="E588">
        <v>18</v>
      </c>
      <c r="F588" t="str">
        <f t="shared" si="18"/>
        <v>Teenager</v>
      </c>
      <c r="G588" t="s">
        <v>2075</v>
      </c>
      <c r="H588" t="str">
        <f t="shared" si="19"/>
        <v>Jun</v>
      </c>
      <c r="I588" t="s">
        <v>60</v>
      </c>
      <c r="J588" t="s">
        <v>31</v>
      </c>
      <c r="K588" t="s">
        <v>2076</v>
      </c>
      <c r="L588" t="s">
        <v>20</v>
      </c>
      <c r="M588" t="s">
        <v>21</v>
      </c>
      <c r="N588">
        <v>1</v>
      </c>
      <c r="O588" t="s">
        <v>22</v>
      </c>
      <c r="P588">
        <v>2041</v>
      </c>
      <c r="Q588" t="s">
        <v>74</v>
      </c>
      <c r="R588" t="s">
        <v>43</v>
      </c>
      <c r="S588">
        <v>226001</v>
      </c>
      <c r="T588" t="s">
        <v>25</v>
      </c>
      <c r="U588" t="s">
        <v>26</v>
      </c>
    </row>
    <row r="589" spans="1:21" x14ac:dyDescent="0.3">
      <c r="A589">
        <v>588</v>
      </c>
      <c r="B589" t="s">
        <v>2077</v>
      </c>
      <c r="C589" t="s">
        <v>2078</v>
      </c>
      <c r="D589" t="s">
        <v>15</v>
      </c>
      <c r="E589">
        <v>18</v>
      </c>
      <c r="F589" t="str">
        <f t="shared" si="18"/>
        <v>Teenager</v>
      </c>
      <c r="G589" t="s">
        <v>488</v>
      </c>
      <c r="H589" t="str">
        <f t="shared" si="19"/>
        <v>Oct</v>
      </c>
      <c r="I589" t="s">
        <v>60</v>
      </c>
      <c r="J589" t="s">
        <v>31</v>
      </c>
      <c r="K589" t="s">
        <v>2079</v>
      </c>
      <c r="L589" t="s">
        <v>56</v>
      </c>
      <c r="M589" t="s">
        <v>85</v>
      </c>
      <c r="N589">
        <v>2</v>
      </c>
      <c r="O589" t="s">
        <v>22</v>
      </c>
      <c r="P589">
        <v>632.05999999999995</v>
      </c>
      <c r="Q589" t="s">
        <v>35</v>
      </c>
      <c r="R589" t="s">
        <v>43</v>
      </c>
      <c r="S589">
        <v>560001</v>
      </c>
      <c r="T589" t="s">
        <v>25</v>
      </c>
      <c r="U589" t="s">
        <v>44</v>
      </c>
    </row>
    <row r="590" spans="1:21" x14ac:dyDescent="0.3">
      <c r="A590">
        <v>589</v>
      </c>
      <c r="B590" t="s">
        <v>2080</v>
      </c>
      <c r="C590" t="s">
        <v>2081</v>
      </c>
      <c r="D590" t="s">
        <v>29</v>
      </c>
      <c r="E590">
        <v>27</v>
      </c>
      <c r="F590" t="str">
        <f t="shared" si="18"/>
        <v>Teenager</v>
      </c>
      <c r="G590" t="s">
        <v>1858</v>
      </c>
      <c r="H590" t="str">
        <f t="shared" si="19"/>
        <v>Sep</v>
      </c>
      <c r="I590" t="s">
        <v>60</v>
      </c>
      <c r="J590" t="s">
        <v>31</v>
      </c>
      <c r="K590" t="s">
        <v>2082</v>
      </c>
      <c r="L590" t="s">
        <v>62</v>
      </c>
      <c r="M590" t="s">
        <v>85</v>
      </c>
      <c r="N590">
        <v>4</v>
      </c>
      <c r="O590" t="s">
        <v>22</v>
      </c>
      <c r="P590">
        <v>3494.68</v>
      </c>
      <c r="Q590" t="s">
        <v>74</v>
      </c>
      <c r="R590" t="s">
        <v>43</v>
      </c>
      <c r="S590">
        <v>226001</v>
      </c>
      <c r="T590" t="s">
        <v>25</v>
      </c>
      <c r="U590" t="s">
        <v>26</v>
      </c>
    </row>
    <row r="591" spans="1:21" x14ac:dyDescent="0.3">
      <c r="A591">
        <v>590</v>
      </c>
      <c r="B591" t="s">
        <v>2083</v>
      </c>
      <c r="C591" t="s">
        <v>901</v>
      </c>
      <c r="D591" t="s">
        <v>29</v>
      </c>
      <c r="E591">
        <v>54</v>
      </c>
      <c r="F591" t="str">
        <f t="shared" si="18"/>
        <v>Senior</v>
      </c>
      <c r="G591" t="s">
        <v>2084</v>
      </c>
      <c r="H591" t="str">
        <f t="shared" si="19"/>
        <v>Jun</v>
      </c>
      <c r="I591" t="s">
        <v>60</v>
      </c>
      <c r="J591" t="s">
        <v>31</v>
      </c>
      <c r="K591" t="s">
        <v>2085</v>
      </c>
      <c r="L591" t="s">
        <v>56</v>
      </c>
      <c r="M591" t="s">
        <v>85</v>
      </c>
      <c r="N591">
        <v>1</v>
      </c>
      <c r="O591" t="s">
        <v>22</v>
      </c>
      <c r="P591">
        <v>836.48</v>
      </c>
      <c r="Q591" t="s">
        <v>51</v>
      </c>
      <c r="R591" t="s">
        <v>43</v>
      </c>
      <c r="S591">
        <v>110001</v>
      </c>
      <c r="T591" t="s">
        <v>25</v>
      </c>
      <c r="U591" t="s">
        <v>44</v>
      </c>
    </row>
    <row r="592" spans="1:21" x14ac:dyDescent="0.3">
      <c r="A592">
        <v>591</v>
      </c>
      <c r="B592" t="s">
        <v>2086</v>
      </c>
      <c r="C592" t="s">
        <v>2087</v>
      </c>
      <c r="D592" t="s">
        <v>15</v>
      </c>
      <c r="E592">
        <v>57</v>
      </c>
      <c r="F592" t="str">
        <f t="shared" si="18"/>
        <v>Senior</v>
      </c>
      <c r="G592" t="s">
        <v>2088</v>
      </c>
      <c r="H592" t="str">
        <f t="shared" si="19"/>
        <v>Mar</v>
      </c>
      <c r="I592" t="s">
        <v>60</v>
      </c>
      <c r="J592" t="s">
        <v>31</v>
      </c>
      <c r="K592" t="s">
        <v>2089</v>
      </c>
      <c r="L592" t="s">
        <v>33</v>
      </c>
      <c r="M592" t="s">
        <v>50</v>
      </c>
      <c r="N592">
        <v>4</v>
      </c>
      <c r="O592" t="s">
        <v>22</v>
      </c>
      <c r="P592">
        <v>4983.26</v>
      </c>
      <c r="Q592" t="s">
        <v>74</v>
      </c>
      <c r="R592" t="s">
        <v>43</v>
      </c>
      <c r="S592">
        <v>226001</v>
      </c>
      <c r="T592" t="s">
        <v>25</v>
      </c>
      <c r="U592" t="s">
        <v>44</v>
      </c>
    </row>
    <row r="593" spans="1:21" x14ac:dyDescent="0.3">
      <c r="A593">
        <v>592</v>
      </c>
      <c r="B593" t="s">
        <v>2090</v>
      </c>
      <c r="C593" t="s">
        <v>2091</v>
      </c>
      <c r="D593" t="s">
        <v>29</v>
      </c>
      <c r="E593">
        <v>28</v>
      </c>
      <c r="F593" t="str">
        <f t="shared" si="18"/>
        <v>Teenager</v>
      </c>
      <c r="G593" t="s">
        <v>1004</v>
      </c>
      <c r="H593" t="str">
        <f t="shared" si="19"/>
        <v>Nov</v>
      </c>
      <c r="I593" t="s">
        <v>60</v>
      </c>
      <c r="J593" t="s">
        <v>31</v>
      </c>
      <c r="K593" t="s">
        <v>2092</v>
      </c>
      <c r="L593" t="s">
        <v>73</v>
      </c>
      <c r="M593" t="s">
        <v>50</v>
      </c>
      <c r="N593">
        <v>4</v>
      </c>
      <c r="O593" t="s">
        <v>22</v>
      </c>
      <c r="P593">
        <v>2802.65</v>
      </c>
      <c r="Q593" t="s">
        <v>42</v>
      </c>
      <c r="R593" t="s">
        <v>43</v>
      </c>
      <c r="S593">
        <v>302001</v>
      </c>
      <c r="T593" t="s">
        <v>25</v>
      </c>
      <c r="U593" t="s">
        <v>26</v>
      </c>
    </row>
    <row r="594" spans="1:21" x14ac:dyDescent="0.3">
      <c r="A594">
        <v>593</v>
      </c>
      <c r="B594" t="s">
        <v>2093</v>
      </c>
      <c r="C594" t="s">
        <v>2094</v>
      </c>
      <c r="D594" t="s">
        <v>29</v>
      </c>
      <c r="E594">
        <v>46</v>
      </c>
      <c r="F594" t="str">
        <f t="shared" si="18"/>
        <v>Adult</v>
      </c>
      <c r="G594" t="s">
        <v>1535</v>
      </c>
      <c r="H594" t="str">
        <f t="shared" si="19"/>
        <v>Aug</v>
      </c>
      <c r="I594" t="s">
        <v>60</v>
      </c>
      <c r="J594" t="s">
        <v>31</v>
      </c>
      <c r="K594" t="s">
        <v>2095</v>
      </c>
      <c r="L594" t="s">
        <v>107</v>
      </c>
      <c r="M594" t="s">
        <v>34</v>
      </c>
      <c r="N594">
        <v>2</v>
      </c>
      <c r="O594" t="s">
        <v>22</v>
      </c>
      <c r="P594">
        <v>4265.03</v>
      </c>
      <c r="Q594" t="s">
        <v>74</v>
      </c>
      <c r="R594" t="s">
        <v>43</v>
      </c>
      <c r="S594">
        <v>226001</v>
      </c>
      <c r="T594" t="s">
        <v>25</v>
      </c>
      <c r="U594" t="s">
        <v>44</v>
      </c>
    </row>
    <row r="595" spans="1:21" x14ac:dyDescent="0.3">
      <c r="A595">
        <v>594</v>
      </c>
      <c r="B595" t="s">
        <v>2096</v>
      </c>
      <c r="C595" t="s">
        <v>2097</v>
      </c>
      <c r="D595" t="s">
        <v>29</v>
      </c>
      <c r="E595">
        <v>29</v>
      </c>
      <c r="F595" t="str">
        <f t="shared" si="18"/>
        <v>Teenager</v>
      </c>
      <c r="G595" t="s">
        <v>1535</v>
      </c>
      <c r="H595" t="str">
        <f t="shared" si="19"/>
        <v>Aug</v>
      </c>
      <c r="I595" t="s">
        <v>60</v>
      </c>
      <c r="J595" t="s">
        <v>31</v>
      </c>
      <c r="K595" t="s">
        <v>2098</v>
      </c>
      <c r="L595" t="s">
        <v>33</v>
      </c>
      <c r="M595" t="s">
        <v>50</v>
      </c>
      <c r="N595">
        <v>3</v>
      </c>
      <c r="O595" t="s">
        <v>22</v>
      </c>
      <c r="P595">
        <v>4889.68</v>
      </c>
      <c r="Q595" t="s">
        <v>42</v>
      </c>
      <c r="R595" t="s">
        <v>43</v>
      </c>
      <c r="S595">
        <v>302001</v>
      </c>
      <c r="T595" t="s">
        <v>25</v>
      </c>
      <c r="U595" t="s">
        <v>44</v>
      </c>
    </row>
    <row r="596" spans="1:21" x14ac:dyDescent="0.3">
      <c r="A596">
        <v>595</v>
      </c>
      <c r="B596" t="s">
        <v>2099</v>
      </c>
      <c r="C596" t="s">
        <v>2100</v>
      </c>
      <c r="D596" t="s">
        <v>15</v>
      </c>
      <c r="E596">
        <v>42</v>
      </c>
      <c r="F596" t="str">
        <f t="shared" si="18"/>
        <v>Adult</v>
      </c>
      <c r="G596" t="s">
        <v>191</v>
      </c>
      <c r="H596" t="str">
        <f t="shared" si="19"/>
        <v>Sep</v>
      </c>
      <c r="I596" t="s">
        <v>60</v>
      </c>
      <c r="J596" t="s">
        <v>31</v>
      </c>
      <c r="K596" t="s">
        <v>2101</v>
      </c>
      <c r="L596" t="s">
        <v>56</v>
      </c>
      <c r="M596" t="s">
        <v>85</v>
      </c>
      <c r="N596">
        <v>2</v>
      </c>
      <c r="O596" t="s">
        <v>22</v>
      </c>
      <c r="P596">
        <v>3613.34</v>
      </c>
      <c r="Q596" t="s">
        <v>42</v>
      </c>
      <c r="R596" t="s">
        <v>43</v>
      </c>
      <c r="S596">
        <v>302001</v>
      </c>
      <c r="T596" t="s">
        <v>25</v>
      </c>
      <c r="U596" t="s">
        <v>26</v>
      </c>
    </row>
    <row r="597" spans="1:21" x14ac:dyDescent="0.3">
      <c r="A597">
        <v>596</v>
      </c>
      <c r="B597" t="s">
        <v>2102</v>
      </c>
      <c r="C597" t="s">
        <v>2103</v>
      </c>
      <c r="D597" t="s">
        <v>29</v>
      </c>
      <c r="E597">
        <v>53</v>
      </c>
      <c r="F597" t="str">
        <f t="shared" si="18"/>
        <v>Senior</v>
      </c>
      <c r="G597" t="s">
        <v>1140</v>
      </c>
      <c r="H597" t="str">
        <f t="shared" si="19"/>
        <v>Jan</v>
      </c>
      <c r="I597" t="s">
        <v>60</v>
      </c>
      <c r="J597" t="s">
        <v>31</v>
      </c>
      <c r="K597" t="s">
        <v>2104</v>
      </c>
      <c r="L597" t="s">
        <v>107</v>
      </c>
      <c r="M597" t="s">
        <v>85</v>
      </c>
      <c r="N597">
        <v>1</v>
      </c>
      <c r="O597" t="s">
        <v>22</v>
      </c>
      <c r="P597">
        <v>2473.36</v>
      </c>
      <c r="Q597" t="s">
        <v>51</v>
      </c>
      <c r="R597" t="s">
        <v>51</v>
      </c>
      <c r="S597">
        <v>110001</v>
      </c>
      <c r="T597" t="s">
        <v>25</v>
      </c>
      <c r="U597" t="s">
        <v>26</v>
      </c>
    </row>
    <row r="598" spans="1:21" x14ac:dyDescent="0.3">
      <c r="A598">
        <v>597</v>
      </c>
      <c r="B598" t="s">
        <v>2105</v>
      </c>
      <c r="C598" t="s">
        <v>2106</v>
      </c>
      <c r="D598" t="s">
        <v>29</v>
      </c>
      <c r="E598">
        <v>56</v>
      </c>
      <c r="F598" t="str">
        <f t="shared" si="18"/>
        <v>Senior</v>
      </c>
      <c r="G598" t="s">
        <v>2041</v>
      </c>
      <c r="H598" t="str">
        <f t="shared" si="19"/>
        <v>Aug</v>
      </c>
      <c r="I598" t="s">
        <v>60</v>
      </c>
      <c r="J598" t="s">
        <v>31</v>
      </c>
      <c r="K598" t="s">
        <v>2107</v>
      </c>
      <c r="L598" t="s">
        <v>107</v>
      </c>
      <c r="M598" t="s">
        <v>34</v>
      </c>
      <c r="N598">
        <v>4</v>
      </c>
      <c r="O598" t="s">
        <v>22</v>
      </c>
      <c r="P598">
        <v>999.59</v>
      </c>
      <c r="Q598" t="s">
        <v>35</v>
      </c>
      <c r="R598" t="s">
        <v>36</v>
      </c>
      <c r="S598">
        <v>560001</v>
      </c>
      <c r="T598" t="s">
        <v>25</v>
      </c>
      <c r="U598" t="s">
        <v>26</v>
      </c>
    </row>
    <row r="599" spans="1:21" x14ac:dyDescent="0.3">
      <c r="A599">
        <v>598</v>
      </c>
      <c r="B599" t="s">
        <v>2108</v>
      </c>
      <c r="C599" t="s">
        <v>2109</v>
      </c>
      <c r="D599" t="s">
        <v>29</v>
      </c>
      <c r="E599">
        <v>19</v>
      </c>
      <c r="F599" t="str">
        <f t="shared" si="18"/>
        <v>Teenager</v>
      </c>
      <c r="G599" t="s">
        <v>430</v>
      </c>
      <c r="H599" t="str">
        <f t="shared" si="19"/>
        <v>Mar</v>
      </c>
      <c r="I599" t="s">
        <v>60</v>
      </c>
      <c r="J599" t="s">
        <v>31</v>
      </c>
      <c r="K599" t="s">
        <v>2110</v>
      </c>
      <c r="L599" t="s">
        <v>56</v>
      </c>
      <c r="M599" t="s">
        <v>34</v>
      </c>
      <c r="N599">
        <v>3</v>
      </c>
      <c r="O599" t="s">
        <v>22</v>
      </c>
      <c r="P599">
        <v>3451.79</v>
      </c>
      <c r="Q599" t="s">
        <v>35</v>
      </c>
      <c r="R599" t="s">
        <v>36</v>
      </c>
      <c r="S599">
        <v>560001</v>
      </c>
      <c r="T599" t="s">
        <v>25</v>
      </c>
      <c r="U599" t="s">
        <v>44</v>
      </c>
    </row>
    <row r="600" spans="1:21" x14ac:dyDescent="0.3">
      <c r="A600">
        <v>599</v>
      </c>
      <c r="B600" t="s">
        <v>2111</v>
      </c>
      <c r="C600" t="s">
        <v>2112</v>
      </c>
      <c r="D600" t="s">
        <v>29</v>
      </c>
      <c r="E600">
        <v>43</v>
      </c>
      <c r="F600" t="str">
        <f t="shared" si="18"/>
        <v>Adult</v>
      </c>
      <c r="G600" t="s">
        <v>532</v>
      </c>
      <c r="H600" t="str">
        <f t="shared" si="19"/>
        <v>Aug</v>
      </c>
      <c r="I600" t="s">
        <v>60</v>
      </c>
      <c r="J600" t="s">
        <v>31</v>
      </c>
      <c r="K600" t="s">
        <v>2113</v>
      </c>
      <c r="L600" t="s">
        <v>73</v>
      </c>
      <c r="M600" t="s">
        <v>50</v>
      </c>
      <c r="N600">
        <v>1</v>
      </c>
      <c r="O600" t="s">
        <v>22</v>
      </c>
      <c r="P600">
        <v>2552.4</v>
      </c>
      <c r="Q600" t="s">
        <v>42</v>
      </c>
      <c r="R600" t="s">
        <v>43</v>
      </c>
      <c r="S600">
        <v>302001</v>
      </c>
      <c r="T600" t="s">
        <v>25</v>
      </c>
      <c r="U600" t="s">
        <v>44</v>
      </c>
    </row>
    <row r="601" spans="1:21" x14ac:dyDescent="0.3">
      <c r="A601">
        <v>600</v>
      </c>
      <c r="B601" t="s">
        <v>2114</v>
      </c>
      <c r="C601" t="s">
        <v>2115</v>
      </c>
      <c r="D601" t="s">
        <v>29</v>
      </c>
      <c r="E601">
        <v>24</v>
      </c>
      <c r="F601" t="str">
        <f t="shared" si="18"/>
        <v>Teenager</v>
      </c>
      <c r="G601" t="s">
        <v>187</v>
      </c>
      <c r="H601" t="str">
        <f t="shared" si="19"/>
        <v>Apr</v>
      </c>
      <c r="I601" t="s">
        <v>60</v>
      </c>
      <c r="J601" t="s">
        <v>31</v>
      </c>
      <c r="K601" t="s">
        <v>2116</v>
      </c>
      <c r="L601" t="s">
        <v>62</v>
      </c>
      <c r="M601" t="s">
        <v>34</v>
      </c>
      <c r="N601">
        <v>2</v>
      </c>
      <c r="O601" t="s">
        <v>22</v>
      </c>
      <c r="P601">
        <v>894.87</v>
      </c>
      <c r="Q601" t="s">
        <v>74</v>
      </c>
      <c r="R601" t="s">
        <v>75</v>
      </c>
      <c r="S601">
        <v>226001</v>
      </c>
      <c r="T601" t="s">
        <v>25</v>
      </c>
      <c r="U601" t="s">
        <v>26</v>
      </c>
    </row>
    <row r="602" spans="1:21" x14ac:dyDescent="0.3">
      <c r="A602">
        <v>601</v>
      </c>
      <c r="B602" t="s">
        <v>2117</v>
      </c>
      <c r="C602" t="s">
        <v>2118</v>
      </c>
      <c r="D602" t="s">
        <v>15</v>
      </c>
      <c r="E602">
        <v>22</v>
      </c>
      <c r="F602" t="str">
        <f t="shared" si="18"/>
        <v>Teenager</v>
      </c>
      <c r="G602" t="s">
        <v>139</v>
      </c>
      <c r="H602" t="str">
        <f t="shared" si="19"/>
        <v>Feb</v>
      </c>
      <c r="I602" t="s">
        <v>60</v>
      </c>
      <c r="J602" t="s">
        <v>31</v>
      </c>
      <c r="K602" t="s">
        <v>2119</v>
      </c>
      <c r="L602" t="s">
        <v>62</v>
      </c>
      <c r="M602" t="s">
        <v>50</v>
      </c>
      <c r="N602">
        <v>3</v>
      </c>
      <c r="O602" t="s">
        <v>22</v>
      </c>
      <c r="P602">
        <v>4309.37</v>
      </c>
      <c r="Q602" t="s">
        <v>35</v>
      </c>
      <c r="R602" t="s">
        <v>36</v>
      </c>
      <c r="S602">
        <v>560001</v>
      </c>
      <c r="T602" t="s">
        <v>25</v>
      </c>
      <c r="U602" t="s">
        <v>44</v>
      </c>
    </row>
    <row r="603" spans="1:21" x14ac:dyDescent="0.3">
      <c r="A603">
        <v>602</v>
      </c>
      <c r="B603" t="s">
        <v>2120</v>
      </c>
      <c r="C603" t="s">
        <v>2121</v>
      </c>
      <c r="D603" t="s">
        <v>15</v>
      </c>
      <c r="E603">
        <v>22</v>
      </c>
      <c r="F603" t="str">
        <f t="shared" si="18"/>
        <v>Teenager</v>
      </c>
      <c r="G603" t="s">
        <v>1450</v>
      </c>
      <c r="H603" t="str">
        <f t="shared" si="19"/>
        <v>Jul</v>
      </c>
      <c r="I603" t="s">
        <v>60</v>
      </c>
      <c r="J603" t="s">
        <v>31</v>
      </c>
      <c r="K603" t="s">
        <v>2122</v>
      </c>
      <c r="L603" t="s">
        <v>73</v>
      </c>
      <c r="M603" t="s">
        <v>34</v>
      </c>
      <c r="N603">
        <v>1</v>
      </c>
      <c r="O603" t="s">
        <v>22</v>
      </c>
      <c r="P603">
        <v>3500.99</v>
      </c>
      <c r="Q603" t="s">
        <v>51</v>
      </c>
      <c r="R603" t="s">
        <v>51</v>
      </c>
      <c r="S603">
        <v>110001</v>
      </c>
      <c r="T603" t="s">
        <v>25</v>
      </c>
      <c r="U603" t="s">
        <v>26</v>
      </c>
    </row>
    <row r="604" spans="1:21" x14ac:dyDescent="0.3">
      <c r="A604">
        <v>603</v>
      </c>
      <c r="B604" t="s">
        <v>2123</v>
      </c>
      <c r="C604" t="s">
        <v>2124</v>
      </c>
      <c r="D604" t="s">
        <v>29</v>
      </c>
      <c r="E604">
        <v>48</v>
      </c>
      <c r="F604" t="str">
        <f t="shared" si="18"/>
        <v>Adult</v>
      </c>
      <c r="G604" t="s">
        <v>885</v>
      </c>
      <c r="H604" t="str">
        <f t="shared" si="19"/>
        <v>Nov</v>
      </c>
      <c r="I604" t="s">
        <v>60</v>
      </c>
      <c r="J604" t="s">
        <v>31</v>
      </c>
      <c r="K604" t="s">
        <v>2125</v>
      </c>
      <c r="L604" t="s">
        <v>73</v>
      </c>
      <c r="M604" t="s">
        <v>85</v>
      </c>
      <c r="N604">
        <v>2</v>
      </c>
      <c r="O604" t="s">
        <v>22</v>
      </c>
      <c r="P604">
        <v>3547.85</v>
      </c>
      <c r="Q604" t="s">
        <v>35</v>
      </c>
      <c r="R604" t="s">
        <v>36</v>
      </c>
      <c r="S604">
        <v>560001</v>
      </c>
      <c r="T604" t="s">
        <v>25</v>
      </c>
      <c r="U604" t="s">
        <v>44</v>
      </c>
    </row>
    <row r="605" spans="1:21" x14ac:dyDescent="0.3">
      <c r="A605">
        <v>604</v>
      </c>
      <c r="B605" t="s">
        <v>2126</v>
      </c>
      <c r="C605" t="s">
        <v>2127</v>
      </c>
      <c r="D605" t="s">
        <v>29</v>
      </c>
      <c r="E605">
        <v>26</v>
      </c>
      <c r="F605" t="str">
        <f t="shared" si="18"/>
        <v>Teenager</v>
      </c>
      <c r="G605" t="s">
        <v>316</v>
      </c>
      <c r="H605" t="str">
        <f t="shared" si="19"/>
        <v>Jan</v>
      </c>
      <c r="I605" t="s">
        <v>60</v>
      </c>
      <c r="J605" t="s">
        <v>31</v>
      </c>
      <c r="K605" t="s">
        <v>2128</v>
      </c>
      <c r="L605" t="s">
        <v>107</v>
      </c>
      <c r="M605" t="s">
        <v>34</v>
      </c>
      <c r="N605">
        <v>4</v>
      </c>
      <c r="O605" t="s">
        <v>22</v>
      </c>
      <c r="P605">
        <v>2293.02</v>
      </c>
      <c r="Q605" t="s">
        <v>51</v>
      </c>
      <c r="R605" t="s">
        <v>51</v>
      </c>
      <c r="S605">
        <v>110001</v>
      </c>
      <c r="T605" t="s">
        <v>25</v>
      </c>
      <c r="U605" t="s">
        <v>26</v>
      </c>
    </row>
    <row r="606" spans="1:21" x14ac:dyDescent="0.3">
      <c r="A606">
        <v>605</v>
      </c>
      <c r="B606" t="s">
        <v>2129</v>
      </c>
      <c r="C606" t="s">
        <v>2130</v>
      </c>
      <c r="D606" t="s">
        <v>29</v>
      </c>
      <c r="E606">
        <v>33</v>
      </c>
      <c r="F606" t="str">
        <f t="shared" si="18"/>
        <v>Adult</v>
      </c>
      <c r="G606" t="s">
        <v>878</v>
      </c>
      <c r="H606" t="str">
        <f t="shared" si="19"/>
        <v>Feb</v>
      </c>
      <c r="I606" t="s">
        <v>60</v>
      </c>
      <c r="J606" t="s">
        <v>31</v>
      </c>
      <c r="K606" t="s">
        <v>2131</v>
      </c>
      <c r="L606" t="s">
        <v>20</v>
      </c>
      <c r="M606" t="s">
        <v>34</v>
      </c>
      <c r="N606">
        <v>3</v>
      </c>
      <c r="O606" t="s">
        <v>22</v>
      </c>
      <c r="P606">
        <v>2008.68</v>
      </c>
      <c r="Q606" t="s">
        <v>42</v>
      </c>
      <c r="R606" t="s">
        <v>43</v>
      </c>
      <c r="S606">
        <v>302001</v>
      </c>
      <c r="T606" t="s">
        <v>25</v>
      </c>
      <c r="U606" t="s">
        <v>26</v>
      </c>
    </row>
    <row r="607" spans="1:21" x14ac:dyDescent="0.3">
      <c r="A607">
        <v>606</v>
      </c>
      <c r="B607" t="s">
        <v>2132</v>
      </c>
      <c r="C607" t="s">
        <v>2133</v>
      </c>
      <c r="D607" t="s">
        <v>15</v>
      </c>
      <c r="E607">
        <v>40</v>
      </c>
      <c r="F607" t="str">
        <f t="shared" si="18"/>
        <v>Adult</v>
      </c>
      <c r="G607" t="s">
        <v>1307</v>
      </c>
      <c r="H607" t="str">
        <f t="shared" si="19"/>
        <v>Feb</v>
      </c>
      <c r="I607" t="s">
        <v>60</v>
      </c>
      <c r="J607" t="s">
        <v>31</v>
      </c>
      <c r="K607" t="s">
        <v>2134</v>
      </c>
      <c r="L607" t="s">
        <v>73</v>
      </c>
      <c r="M607" t="s">
        <v>85</v>
      </c>
      <c r="N607">
        <v>3</v>
      </c>
      <c r="O607" t="s">
        <v>22</v>
      </c>
      <c r="P607">
        <v>767.42</v>
      </c>
      <c r="Q607" t="s">
        <v>74</v>
      </c>
      <c r="R607" t="s">
        <v>75</v>
      </c>
      <c r="S607">
        <v>226001</v>
      </c>
      <c r="T607" t="s">
        <v>25</v>
      </c>
      <c r="U607" t="s">
        <v>44</v>
      </c>
    </row>
    <row r="608" spans="1:21" x14ac:dyDescent="0.3">
      <c r="A608">
        <v>607</v>
      </c>
      <c r="B608" t="s">
        <v>2135</v>
      </c>
      <c r="C608" t="s">
        <v>2136</v>
      </c>
      <c r="D608" t="s">
        <v>15</v>
      </c>
      <c r="E608">
        <v>29</v>
      </c>
      <c r="F608" t="str">
        <f t="shared" si="18"/>
        <v>Teenager</v>
      </c>
      <c r="G608" t="s">
        <v>587</v>
      </c>
      <c r="H608" t="str">
        <f t="shared" si="19"/>
        <v>Apr</v>
      </c>
      <c r="I608" t="s">
        <v>60</v>
      </c>
      <c r="J608" t="s">
        <v>31</v>
      </c>
      <c r="K608" t="s">
        <v>2137</v>
      </c>
      <c r="L608" t="s">
        <v>107</v>
      </c>
      <c r="M608" t="s">
        <v>34</v>
      </c>
      <c r="N608">
        <v>1</v>
      </c>
      <c r="O608" t="s">
        <v>22</v>
      </c>
      <c r="P608">
        <v>2042.54</v>
      </c>
      <c r="Q608" t="s">
        <v>74</v>
      </c>
      <c r="R608" t="s">
        <v>75</v>
      </c>
      <c r="S608">
        <v>226001</v>
      </c>
      <c r="T608" t="s">
        <v>25</v>
      </c>
      <c r="U608" t="s">
        <v>26</v>
      </c>
    </row>
    <row r="609" spans="1:21" x14ac:dyDescent="0.3">
      <c r="A609">
        <v>608</v>
      </c>
      <c r="B609" t="s">
        <v>2138</v>
      </c>
      <c r="C609" t="s">
        <v>2139</v>
      </c>
      <c r="D609" t="s">
        <v>29</v>
      </c>
      <c r="E609">
        <v>54</v>
      </c>
      <c r="F609" t="str">
        <f t="shared" si="18"/>
        <v>Senior</v>
      </c>
      <c r="G609" t="s">
        <v>1048</v>
      </c>
      <c r="H609" t="str">
        <f t="shared" si="19"/>
        <v>Oct</v>
      </c>
      <c r="I609" t="s">
        <v>60</v>
      </c>
      <c r="J609" t="s">
        <v>31</v>
      </c>
      <c r="K609" t="s">
        <v>2140</v>
      </c>
      <c r="L609" t="s">
        <v>73</v>
      </c>
      <c r="M609" t="s">
        <v>85</v>
      </c>
      <c r="N609">
        <v>5</v>
      </c>
      <c r="O609" t="s">
        <v>22</v>
      </c>
      <c r="P609">
        <v>2626.89</v>
      </c>
      <c r="Q609" t="s">
        <v>23</v>
      </c>
      <c r="R609" t="s">
        <v>24</v>
      </c>
      <c r="S609">
        <v>400001</v>
      </c>
      <c r="T609" t="s">
        <v>25</v>
      </c>
      <c r="U609" t="s">
        <v>44</v>
      </c>
    </row>
    <row r="610" spans="1:21" x14ac:dyDescent="0.3">
      <c r="A610">
        <v>609</v>
      </c>
      <c r="B610" t="s">
        <v>2141</v>
      </c>
      <c r="C610" t="s">
        <v>2142</v>
      </c>
      <c r="D610" t="s">
        <v>29</v>
      </c>
      <c r="E610">
        <v>47</v>
      </c>
      <c r="F610" t="str">
        <f t="shared" si="18"/>
        <v>Adult</v>
      </c>
      <c r="G610" t="s">
        <v>1303</v>
      </c>
      <c r="H610" t="str">
        <f t="shared" si="19"/>
        <v>Jul</v>
      </c>
      <c r="I610" t="s">
        <v>60</v>
      </c>
      <c r="J610" t="s">
        <v>31</v>
      </c>
      <c r="K610" t="s">
        <v>2143</v>
      </c>
      <c r="L610" t="s">
        <v>62</v>
      </c>
      <c r="M610" t="s">
        <v>50</v>
      </c>
      <c r="N610">
        <v>4</v>
      </c>
      <c r="O610" t="s">
        <v>22</v>
      </c>
      <c r="P610">
        <v>1572.22</v>
      </c>
      <c r="Q610" t="s">
        <v>23</v>
      </c>
      <c r="R610" t="s">
        <v>24</v>
      </c>
      <c r="S610">
        <v>400001</v>
      </c>
      <c r="T610" t="s">
        <v>25</v>
      </c>
      <c r="U610" t="s">
        <v>26</v>
      </c>
    </row>
    <row r="611" spans="1:21" x14ac:dyDescent="0.3">
      <c r="A611">
        <v>610</v>
      </c>
      <c r="B611" t="s">
        <v>2144</v>
      </c>
      <c r="C611" t="s">
        <v>2145</v>
      </c>
      <c r="D611" t="s">
        <v>15</v>
      </c>
      <c r="E611">
        <v>45</v>
      </c>
      <c r="F611" t="str">
        <f t="shared" si="18"/>
        <v>Adult</v>
      </c>
      <c r="G611" t="s">
        <v>2146</v>
      </c>
      <c r="H611" t="str">
        <f t="shared" si="19"/>
        <v>May</v>
      </c>
      <c r="I611" t="s">
        <v>60</v>
      </c>
      <c r="J611" t="s">
        <v>31</v>
      </c>
      <c r="K611" t="s">
        <v>2147</v>
      </c>
      <c r="L611" t="s">
        <v>33</v>
      </c>
      <c r="M611" t="s">
        <v>21</v>
      </c>
      <c r="N611">
        <v>5</v>
      </c>
      <c r="O611" t="s">
        <v>22</v>
      </c>
      <c r="P611">
        <v>3056.51</v>
      </c>
      <c r="Q611" t="s">
        <v>23</v>
      </c>
      <c r="R611" t="s">
        <v>24</v>
      </c>
      <c r="S611">
        <v>400001</v>
      </c>
      <c r="T611" t="s">
        <v>25</v>
      </c>
      <c r="U611" t="s">
        <v>26</v>
      </c>
    </row>
    <row r="612" spans="1:21" x14ac:dyDescent="0.3">
      <c r="A612">
        <v>611</v>
      </c>
      <c r="B612" t="s">
        <v>2148</v>
      </c>
      <c r="C612" t="s">
        <v>2149</v>
      </c>
      <c r="D612" t="s">
        <v>15</v>
      </c>
      <c r="E612">
        <v>21</v>
      </c>
      <c r="F612" t="str">
        <f t="shared" si="18"/>
        <v>Teenager</v>
      </c>
      <c r="G612" t="s">
        <v>238</v>
      </c>
      <c r="H612" t="str">
        <f t="shared" si="19"/>
        <v>Feb</v>
      </c>
      <c r="I612" t="s">
        <v>60</v>
      </c>
      <c r="J612" t="s">
        <v>31</v>
      </c>
      <c r="K612" t="s">
        <v>2150</v>
      </c>
      <c r="L612" t="s">
        <v>33</v>
      </c>
      <c r="M612" t="s">
        <v>85</v>
      </c>
      <c r="N612">
        <v>1</v>
      </c>
      <c r="O612" t="s">
        <v>22</v>
      </c>
      <c r="P612">
        <v>4116.2700000000004</v>
      </c>
      <c r="Q612" t="s">
        <v>51</v>
      </c>
      <c r="R612" t="s">
        <v>51</v>
      </c>
      <c r="S612">
        <v>110001</v>
      </c>
      <c r="T612" t="s">
        <v>25</v>
      </c>
      <c r="U612" t="s">
        <v>44</v>
      </c>
    </row>
    <row r="613" spans="1:21" x14ac:dyDescent="0.3">
      <c r="A613">
        <v>612</v>
      </c>
      <c r="B613" t="s">
        <v>2151</v>
      </c>
      <c r="C613" t="s">
        <v>2152</v>
      </c>
      <c r="D613" t="s">
        <v>15</v>
      </c>
      <c r="E613">
        <v>47</v>
      </c>
      <c r="F613" t="str">
        <f t="shared" si="18"/>
        <v>Adult</v>
      </c>
      <c r="G613" t="s">
        <v>284</v>
      </c>
      <c r="H613" t="str">
        <f t="shared" si="19"/>
        <v>Feb</v>
      </c>
      <c r="I613" t="s">
        <v>60</v>
      </c>
      <c r="J613" t="s">
        <v>31</v>
      </c>
      <c r="K613" t="s">
        <v>2153</v>
      </c>
      <c r="L613" t="s">
        <v>73</v>
      </c>
      <c r="M613" t="s">
        <v>34</v>
      </c>
      <c r="N613">
        <v>2</v>
      </c>
      <c r="O613" t="s">
        <v>22</v>
      </c>
      <c r="P613">
        <v>4556.3599999999997</v>
      </c>
      <c r="Q613" t="s">
        <v>51</v>
      </c>
      <c r="R613" t="s">
        <v>51</v>
      </c>
      <c r="S613">
        <v>110001</v>
      </c>
      <c r="T613" t="s">
        <v>25</v>
      </c>
      <c r="U613" t="s">
        <v>26</v>
      </c>
    </row>
    <row r="614" spans="1:21" x14ac:dyDescent="0.3">
      <c r="A614">
        <v>613</v>
      </c>
      <c r="B614" t="s">
        <v>2154</v>
      </c>
      <c r="C614" t="s">
        <v>2155</v>
      </c>
      <c r="D614" t="s">
        <v>29</v>
      </c>
      <c r="E614">
        <v>38</v>
      </c>
      <c r="F614" t="str">
        <f t="shared" si="18"/>
        <v>Adult</v>
      </c>
      <c r="G614" t="s">
        <v>246</v>
      </c>
      <c r="H614" t="str">
        <f t="shared" si="19"/>
        <v>Nov</v>
      </c>
      <c r="I614" t="s">
        <v>60</v>
      </c>
      <c r="J614" t="s">
        <v>31</v>
      </c>
      <c r="K614" t="s">
        <v>2156</v>
      </c>
      <c r="L614" t="s">
        <v>56</v>
      </c>
      <c r="M614" t="s">
        <v>21</v>
      </c>
      <c r="N614">
        <v>4</v>
      </c>
      <c r="O614" t="s">
        <v>22</v>
      </c>
      <c r="P614">
        <v>864.29</v>
      </c>
      <c r="Q614" t="s">
        <v>74</v>
      </c>
      <c r="R614" t="s">
        <v>75</v>
      </c>
      <c r="S614">
        <v>226001</v>
      </c>
      <c r="T614" t="s">
        <v>25</v>
      </c>
      <c r="U614" t="s">
        <v>26</v>
      </c>
    </row>
    <row r="615" spans="1:21" x14ac:dyDescent="0.3">
      <c r="A615">
        <v>614</v>
      </c>
      <c r="B615" t="s">
        <v>2157</v>
      </c>
      <c r="C615" t="s">
        <v>2158</v>
      </c>
      <c r="D615" t="s">
        <v>15</v>
      </c>
      <c r="E615">
        <v>41</v>
      </c>
      <c r="F615" t="str">
        <f t="shared" si="18"/>
        <v>Adult</v>
      </c>
      <c r="G615" t="s">
        <v>2159</v>
      </c>
      <c r="H615" t="str">
        <f t="shared" si="19"/>
        <v>Mar</v>
      </c>
      <c r="I615" t="s">
        <v>60</v>
      </c>
      <c r="J615" t="s">
        <v>31</v>
      </c>
      <c r="K615" t="s">
        <v>2160</v>
      </c>
      <c r="L615" t="s">
        <v>62</v>
      </c>
      <c r="M615" t="s">
        <v>50</v>
      </c>
      <c r="N615">
        <v>5</v>
      </c>
      <c r="O615" t="s">
        <v>22</v>
      </c>
      <c r="P615">
        <v>3765.21</v>
      </c>
      <c r="Q615" t="s">
        <v>74</v>
      </c>
      <c r="R615" t="s">
        <v>75</v>
      </c>
      <c r="S615">
        <v>226001</v>
      </c>
      <c r="T615" t="s">
        <v>25</v>
      </c>
      <c r="U615" t="s">
        <v>44</v>
      </c>
    </row>
    <row r="616" spans="1:21" x14ac:dyDescent="0.3">
      <c r="A616">
        <v>615</v>
      </c>
      <c r="B616" t="s">
        <v>2161</v>
      </c>
      <c r="C616" t="s">
        <v>2162</v>
      </c>
      <c r="D616" t="s">
        <v>15</v>
      </c>
      <c r="E616">
        <v>60</v>
      </c>
      <c r="F616" t="str">
        <f t="shared" si="18"/>
        <v>Senior</v>
      </c>
      <c r="G616" t="s">
        <v>195</v>
      </c>
      <c r="H616" t="str">
        <f t="shared" si="19"/>
        <v>Oct</v>
      </c>
      <c r="I616" t="s">
        <v>60</v>
      </c>
      <c r="J616" t="s">
        <v>31</v>
      </c>
      <c r="K616" t="s">
        <v>2163</v>
      </c>
      <c r="L616" t="s">
        <v>33</v>
      </c>
      <c r="M616" t="s">
        <v>21</v>
      </c>
      <c r="N616">
        <v>2</v>
      </c>
      <c r="O616" t="s">
        <v>22</v>
      </c>
      <c r="P616">
        <v>2411.65</v>
      </c>
      <c r="Q616" t="s">
        <v>23</v>
      </c>
      <c r="R616" t="s">
        <v>24</v>
      </c>
      <c r="S616">
        <v>400001</v>
      </c>
      <c r="T616" t="s">
        <v>25</v>
      </c>
      <c r="U616" t="s">
        <v>26</v>
      </c>
    </row>
    <row r="617" spans="1:21" x14ac:dyDescent="0.3">
      <c r="A617">
        <v>616</v>
      </c>
      <c r="B617" t="s">
        <v>2164</v>
      </c>
      <c r="C617" t="s">
        <v>2165</v>
      </c>
      <c r="D617" t="s">
        <v>29</v>
      </c>
      <c r="E617">
        <v>53</v>
      </c>
      <c r="F617" t="str">
        <f t="shared" si="18"/>
        <v>Senior</v>
      </c>
      <c r="G617" t="s">
        <v>426</v>
      </c>
      <c r="H617" t="str">
        <f t="shared" si="19"/>
        <v>Nov</v>
      </c>
      <c r="I617" t="s">
        <v>60</v>
      </c>
      <c r="J617" t="s">
        <v>31</v>
      </c>
      <c r="K617" t="s">
        <v>2166</v>
      </c>
      <c r="L617" t="s">
        <v>73</v>
      </c>
      <c r="M617" t="s">
        <v>85</v>
      </c>
      <c r="N617">
        <v>2</v>
      </c>
      <c r="O617" t="s">
        <v>22</v>
      </c>
      <c r="P617">
        <v>4477.4799999999996</v>
      </c>
      <c r="Q617" t="s">
        <v>42</v>
      </c>
      <c r="R617" t="s">
        <v>43</v>
      </c>
      <c r="S617">
        <v>302001</v>
      </c>
      <c r="T617" t="s">
        <v>25</v>
      </c>
      <c r="U617" t="s">
        <v>26</v>
      </c>
    </row>
    <row r="618" spans="1:21" x14ac:dyDescent="0.3">
      <c r="A618">
        <v>617</v>
      </c>
      <c r="B618" t="s">
        <v>2167</v>
      </c>
      <c r="C618" t="s">
        <v>2168</v>
      </c>
      <c r="D618" t="s">
        <v>15</v>
      </c>
      <c r="E618">
        <v>28</v>
      </c>
      <c r="F618" t="str">
        <f t="shared" si="18"/>
        <v>Teenager</v>
      </c>
      <c r="G618" t="s">
        <v>2169</v>
      </c>
      <c r="H618" t="str">
        <f t="shared" si="19"/>
        <v>Sep</v>
      </c>
      <c r="I618" t="s">
        <v>60</v>
      </c>
      <c r="J618" t="s">
        <v>31</v>
      </c>
      <c r="K618" t="s">
        <v>2170</v>
      </c>
      <c r="L618" t="s">
        <v>56</v>
      </c>
      <c r="M618" t="s">
        <v>34</v>
      </c>
      <c r="N618">
        <v>4</v>
      </c>
      <c r="O618" t="s">
        <v>22</v>
      </c>
      <c r="P618">
        <v>4256.76</v>
      </c>
      <c r="Q618" t="s">
        <v>74</v>
      </c>
      <c r="R618" t="s">
        <v>75</v>
      </c>
      <c r="S618">
        <v>226001</v>
      </c>
      <c r="T618" t="s">
        <v>25</v>
      </c>
      <c r="U618" t="s">
        <v>44</v>
      </c>
    </row>
    <row r="619" spans="1:21" x14ac:dyDescent="0.3">
      <c r="A619">
        <v>618</v>
      </c>
      <c r="B619" t="s">
        <v>2171</v>
      </c>
      <c r="C619" t="s">
        <v>2172</v>
      </c>
      <c r="D619" t="s">
        <v>15</v>
      </c>
      <c r="E619">
        <v>50</v>
      </c>
      <c r="F619" t="str">
        <f t="shared" si="18"/>
        <v>Senior</v>
      </c>
      <c r="G619" t="s">
        <v>2173</v>
      </c>
      <c r="H619" t="str">
        <f t="shared" si="19"/>
        <v>Dec</v>
      </c>
      <c r="I619" t="s">
        <v>60</v>
      </c>
      <c r="J619" t="s">
        <v>31</v>
      </c>
      <c r="K619" t="s">
        <v>2174</v>
      </c>
      <c r="L619" t="s">
        <v>107</v>
      </c>
      <c r="M619" t="s">
        <v>21</v>
      </c>
      <c r="N619">
        <v>2</v>
      </c>
      <c r="O619" t="s">
        <v>22</v>
      </c>
      <c r="P619">
        <v>2776.8</v>
      </c>
      <c r="Q619" t="s">
        <v>35</v>
      </c>
      <c r="R619" t="s">
        <v>36</v>
      </c>
      <c r="S619">
        <v>560001</v>
      </c>
      <c r="T619" t="s">
        <v>25</v>
      </c>
      <c r="U619" t="s">
        <v>44</v>
      </c>
    </row>
    <row r="620" spans="1:21" x14ac:dyDescent="0.3">
      <c r="A620">
        <v>619</v>
      </c>
      <c r="B620" t="s">
        <v>2175</v>
      </c>
      <c r="C620" t="s">
        <v>2176</v>
      </c>
      <c r="D620" t="s">
        <v>15</v>
      </c>
      <c r="E620">
        <v>53</v>
      </c>
      <c r="F620" t="str">
        <f t="shared" si="18"/>
        <v>Senior</v>
      </c>
      <c r="G620" t="s">
        <v>791</v>
      </c>
      <c r="H620" t="str">
        <f t="shared" si="19"/>
        <v>Apr</v>
      </c>
      <c r="I620" t="s">
        <v>60</v>
      </c>
      <c r="J620" t="s">
        <v>31</v>
      </c>
      <c r="K620" t="s">
        <v>2177</v>
      </c>
      <c r="L620" t="s">
        <v>73</v>
      </c>
      <c r="M620" t="s">
        <v>21</v>
      </c>
      <c r="N620">
        <v>4</v>
      </c>
      <c r="O620" t="s">
        <v>22</v>
      </c>
      <c r="P620">
        <v>401.29</v>
      </c>
      <c r="Q620" t="s">
        <v>74</v>
      </c>
      <c r="R620" t="s">
        <v>75</v>
      </c>
      <c r="S620">
        <v>226001</v>
      </c>
      <c r="T620" t="s">
        <v>25</v>
      </c>
      <c r="U620" t="s">
        <v>26</v>
      </c>
    </row>
    <row r="621" spans="1:21" x14ac:dyDescent="0.3">
      <c r="A621">
        <v>620</v>
      </c>
      <c r="B621" t="s">
        <v>2178</v>
      </c>
      <c r="C621" t="s">
        <v>2179</v>
      </c>
      <c r="D621" t="s">
        <v>15</v>
      </c>
      <c r="E621">
        <v>19</v>
      </c>
      <c r="F621" t="str">
        <f t="shared" si="18"/>
        <v>Teenager</v>
      </c>
      <c r="G621" t="s">
        <v>1197</v>
      </c>
      <c r="H621" t="str">
        <f t="shared" si="19"/>
        <v>Nov</v>
      </c>
      <c r="I621" t="s">
        <v>60</v>
      </c>
      <c r="J621" t="s">
        <v>31</v>
      </c>
      <c r="K621" t="s">
        <v>2180</v>
      </c>
      <c r="L621" t="s">
        <v>56</v>
      </c>
      <c r="M621" t="s">
        <v>85</v>
      </c>
      <c r="N621">
        <v>3</v>
      </c>
      <c r="O621" t="s">
        <v>22</v>
      </c>
      <c r="P621">
        <v>4837.58</v>
      </c>
      <c r="Q621" t="s">
        <v>51</v>
      </c>
      <c r="R621" t="s">
        <v>51</v>
      </c>
      <c r="S621">
        <v>110001</v>
      </c>
      <c r="T621" t="s">
        <v>25</v>
      </c>
      <c r="U621" t="s">
        <v>26</v>
      </c>
    </row>
    <row r="622" spans="1:21" x14ac:dyDescent="0.3">
      <c r="A622">
        <v>621</v>
      </c>
      <c r="B622" t="s">
        <v>2181</v>
      </c>
      <c r="C622" t="s">
        <v>2182</v>
      </c>
      <c r="D622" t="s">
        <v>15</v>
      </c>
      <c r="E622">
        <v>33</v>
      </c>
      <c r="F622" t="str">
        <f t="shared" si="18"/>
        <v>Adult</v>
      </c>
      <c r="G622" t="s">
        <v>643</v>
      </c>
      <c r="H622" t="str">
        <f t="shared" si="19"/>
        <v>Aug</v>
      </c>
      <c r="I622" t="s">
        <v>60</v>
      </c>
      <c r="J622" t="s">
        <v>31</v>
      </c>
      <c r="K622" t="s">
        <v>2183</v>
      </c>
      <c r="L622" t="s">
        <v>107</v>
      </c>
      <c r="M622" t="s">
        <v>21</v>
      </c>
      <c r="N622">
        <v>5</v>
      </c>
      <c r="O622" t="s">
        <v>22</v>
      </c>
      <c r="P622">
        <v>3614.04</v>
      </c>
      <c r="Q622" t="s">
        <v>35</v>
      </c>
      <c r="R622" t="s">
        <v>36</v>
      </c>
      <c r="S622">
        <v>560001</v>
      </c>
      <c r="T622" t="s">
        <v>25</v>
      </c>
      <c r="U622" t="s">
        <v>26</v>
      </c>
    </row>
    <row r="623" spans="1:21" x14ac:dyDescent="0.3">
      <c r="A623">
        <v>622</v>
      </c>
      <c r="B623" t="s">
        <v>2184</v>
      </c>
      <c r="C623" t="s">
        <v>2185</v>
      </c>
      <c r="D623" t="s">
        <v>15</v>
      </c>
      <c r="E623">
        <v>59</v>
      </c>
      <c r="F623" t="str">
        <f t="shared" si="18"/>
        <v>Senior</v>
      </c>
      <c r="G623" t="s">
        <v>528</v>
      </c>
      <c r="H623" t="str">
        <f t="shared" si="19"/>
        <v>Feb</v>
      </c>
      <c r="I623" t="s">
        <v>60</v>
      </c>
      <c r="J623" t="s">
        <v>31</v>
      </c>
      <c r="K623" t="s">
        <v>2186</v>
      </c>
      <c r="L623" t="s">
        <v>62</v>
      </c>
      <c r="M623" t="s">
        <v>50</v>
      </c>
      <c r="N623">
        <v>1</v>
      </c>
      <c r="O623" t="s">
        <v>22</v>
      </c>
      <c r="P623">
        <v>2322.92</v>
      </c>
      <c r="Q623" t="s">
        <v>23</v>
      </c>
      <c r="R623" t="s">
        <v>24</v>
      </c>
      <c r="S623">
        <v>400001</v>
      </c>
      <c r="T623" t="s">
        <v>25</v>
      </c>
      <c r="U623" t="s">
        <v>44</v>
      </c>
    </row>
    <row r="624" spans="1:21" x14ac:dyDescent="0.3">
      <c r="A624">
        <v>623</v>
      </c>
      <c r="B624" t="s">
        <v>2187</v>
      </c>
      <c r="C624" t="s">
        <v>2188</v>
      </c>
      <c r="D624" t="s">
        <v>29</v>
      </c>
      <c r="E624">
        <v>51</v>
      </c>
      <c r="F624" t="str">
        <f t="shared" si="18"/>
        <v>Senior</v>
      </c>
      <c r="G624" t="s">
        <v>171</v>
      </c>
      <c r="H624" t="str">
        <f t="shared" si="19"/>
        <v>Jul</v>
      </c>
      <c r="I624" t="s">
        <v>60</v>
      </c>
      <c r="J624" t="s">
        <v>31</v>
      </c>
      <c r="K624" t="s">
        <v>2189</v>
      </c>
      <c r="L624" t="s">
        <v>107</v>
      </c>
      <c r="M624" t="s">
        <v>85</v>
      </c>
      <c r="N624">
        <v>4</v>
      </c>
      <c r="O624" t="s">
        <v>22</v>
      </c>
      <c r="P624">
        <v>1148.3699999999999</v>
      </c>
      <c r="Q624" t="s">
        <v>51</v>
      </c>
      <c r="R624" t="s">
        <v>51</v>
      </c>
      <c r="S624">
        <v>110001</v>
      </c>
      <c r="T624" t="s">
        <v>25</v>
      </c>
      <c r="U624" t="s">
        <v>26</v>
      </c>
    </row>
    <row r="625" spans="1:21" x14ac:dyDescent="0.3">
      <c r="A625">
        <v>624</v>
      </c>
      <c r="B625" t="s">
        <v>2190</v>
      </c>
      <c r="C625" t="s">
        <v>2191</v>
      </c>
      <c r="D625" t="s">
        <v>15</v>
      </c>
      <c r="E625">
        <v>60</v>
      </c>
      <c r="F625" t="str">
        <f t="shared" si="18"/>
        <v>Senior</v>
      </c>
      <c r="G625" t="s">
        <v>2192</v>
      </c>
      <c r="H625" t="str">
        <f t="shared" si="19"/>
        <v>Sep</v>
      </c>
      <c r="I625" t="s">
        <v>60</v>
      </c>
      <c r="J625" t="s">
        <v>31</v>
      </c>
      <c r="K625" t="s">
        <v>2193</v>
      </c>
      <c r="L625" t="s">
        <v>33</v>
      </c>
      <c r="M625" t="s">
        <v>34</v>
      </c>
      <c r="N625">
        <v>1</v>
      </c>
      <c r="O625" t="s">
        <v>22</v>
      </c>
      <c r="P625">
        <v>3482.92</v>
      </c>
      <c r="Q625" t="s">
        <v>51</v>
      </c>
      <c r="R625" t="s">
        <v>51</v>
      </c>
      <c r="S625">
        <v>110001</v>
      </c>
      <c r="T625" t="s">
        <v>25</v>
      </c>
      <c r="U625" t="s">
        <v>26</v>
      </c>
    </row>
    <row r="626" spans="1:21" x14ac:dyDescent="0.3">
      <c r="A626">
        <v>625</v>
      </c>
      <c r="B626" t="s">
        <v>2194</v>
      </c>
      <c r="C626" t="s">
        <v>2195</v>
      </c>
      <c r="D626" t="s">
        <v>15</v>
      </c>
      <c r="E626">
        <v>23</v>
      </c>
      <c r="F626" t="str">
        <f t="shared" si="18"/>
        <v>Teenager</v>
      </c>
      <c r="G626" t="s">
        <v>1605</v>
      </c>
      <c r="H626" t="str">
        <f t="shared" si="19"/>
        <v>Apr</v>
      </c>
      <c r="I626" t="s">
        <v>60</v>
      </c>
      <c r="J626" t="s">
        <v>31</v>
      </c>
      <c r="K626" t="s">
        <v>2196</v>
      </c>
      <c r="L626" t="s">
        <v>73</v>
      </c>
      <c r="M626" t="s">
        <v>21</v>
      </c>
      <c r="N626">
        <v>2</v>
      </c>
      <c r="O626" t="s">
        <v>22</v>
      </c>
      <c r="P626">
        <v>375.32</v>
      </c>
      <c r="Q626" t="s">
        <v>51</v>
      </c>
      <c r="R626" t="s">
        <v>51</v>
      </c>
      <c r="S626">
        <v>110001</v>
      </c>
      <c r="T626" t="s">
        <v>25</v>
      </c>
      <c r="U626" t="s">
        <v>44</v>
      </c>
    </row>
    <row r="627" spans="1:21" x14ac:dyDescent="0.3">
      <c r="A627">
        <v>626</v>
      </c>
      <c r="B627" t="s">
        <v>2197</v>
      </c>
      <c r="C627" t="s">
        <v>2198</v>
      </c>
      <c r="D627" t="s">
        <v>29</v>
      </c>
      <c r="E627">
        <v>27</v>
      </c>
      <c r="F627" t="str">
        <f t="shared" si="18"/>
        <v>Teenager</v>
      </c>
      <c r="G627" t="s">
        <v>842</v>
      </c>
      <c r="H627" t="str">
        <f t="shared" si="19"/>
        <v>Oct</v>
      </c>
      <c r="I627" t="s">
        <v>60</v>
      </c>
      <c r="J627" t="s">
        <v>31</v>
      </c>
      <c r="K627" t="s">
        <v>2199</v>
      </c>
      <c r="L627" t="s">
        <v>20</v>
      </c>
      <c r="M627" t="s">
        <v>50</v>
      </c>
      <c r="N627">
        <v>2</v>
      </c>
      <c r="O627" t="s">
        <v>22</v>
      </c>
      <c r="P627">
        <v>2930.19</v>
      </c>
      <c r="Q627" t="s">
        <v>23</v>
      </c>
      <c r="R627" t="s">
        <v>24</v>
      </c>
      <c r="S627">
        <v>400001</v>
      </c>
      <c r="T627" t="s">
        <v>25</v>
      </c>
      <c r="U627" t="s">
        <v>44</v>
      </c>
    </row>
    <row r="628" spans="1:21" x14ac:dyDescent="0.3">
      <c r="A628">
        <v>627</v>
      </c>
      <c r="B628" t="s">
        <v>2200</v>
      </c>
      <c r="C628" t="s">
        <v>2201</v>
      </c>
      <c r="D628" t="s">
        <v>29</v>
      </c>
      <c r="E628">
        <v>35</v>
      </c>
      <c r="F628" t="str">
        <f t="shared" si="18"/>
        <v>Adult</v>
      </c>
      <c r="G628" t="s">
        <v>358</v>
      </c>
      <c r="H628" t="str">
        <f t="shared" si="19"/>
        <v>Jul</v>
      </c>
      <c r="I628" t="s">
        <v>60</v>
      </c>
      <c r="J628" t="s">
        <v>31</v>
      </c>
      <c r="K628" t="s">
        <v>2202</v>
      </c>
      <c r="L628" t="s">
        <v>33</v>
      </c>
      <c r="M628" t="s">
        <v>34</v>
      </c>
      <c r="N628">
        <v>4</v>
      </c>
      <c r="O628" t="s">
        <v>22</v>
      </c>
      <c r="P628">
        <v>691.73</v>
      </c>
      <c r="Q628" t="s">
        <v>42</v>
      </c>
      <c r="R628" t="s">
        <v>43</v>
      </c>
      <c r="S628">
        <v>302001</v>
      </c>
      <c r="T628" t="s">
        <v>25</v>
      </c>
      <c r="U628" t="s">
        <v>26</v>
      </c>
    </row>
    <row r="629" spans="1:21" x14ac:dyDescent="0.3">
      <c r="A629">
        <v>628</v>
      </c>
      <c r="B629" t="s">
        <v>2203</v>
      </c>
      <c r="C629" t="s">
        <v>2204</v>
      </c>
      <c r="D629" t="s">
        <v>29</v>
      </c>
      <c r="E629">
        <v>56</v>
      </c>
      <c r="F629" t="str">
        <f t="shared" si="18"/>
        <v>Senior</v>
      </c>
      <c r="G629" t="s">
        <v>1008</v>
      </c>
      <c r="H629" t="str">
        <f t="shared" si="19"/>
        <v>Sep</v>
      </c>
      <c r="I629" t="s">
        <v>60</v>
      </c>
      <c r="J629" t="s">
        <v>31</v>
      </c>
      <c r="K629" t="s">
        <v>2205</v>
      </c>
      <c r="L629" t="s">
        <v>20</v>
      </c>
      <c r="M629" t="s">
        <v>50</v>
      </c>
      <c r="N629">
        <v>3</v>
      </c>
      <c r="O629" t="s">
        <v>22</v>
      </c>
      <c r="P629">
        <v>2596.2600000000002</v>
      </c>
      <c r="Q629" t="s">
        <v>35</v>
      </c>
      <c r="R629" t="s">
        <v>36</v>
      </c>
      <c r="S629">
        <v>560001</v>
      </c>
      <c r="T629" t="s">
        <v>25</v>
      </c>
      <c r="U629" t="s">
        <v>44</v>
      </c>
    </row>
    <row r="630" spans="1:21" x14ac:dyDescent="0.3">
      <c r="A630">
        <v>629</v>
      </c>
      <c r="B630" t="s">
        <v>2206</v>
      </c>
      <c r="C630" t="s">
        <v>2207</v>
      </c>
      <c r="D630" t="s">
        <v>29</v>
      </c>
      <c r="E630">
        <v>52</v>
      </c>
      <c r="F630" t="str">
        <f t="shared" si="18"/>
        <v>Senior</v>
      </c>
      <c r="G630" t="s">
        <v>469</v>
      </c>
      <c r="H630" t="str">
        <f t="shared" si="19"/>
        <v>Mar</v>
      </c>
      <c r="I630" t="s">
        <v>60</v>
      </c>
      <c r="J630" t="s">
        <v>31</v>
      </c>
      <c r="K630" t="s">
        <v>2208</v>
      </c>
      <c r="L630" t="s">
        <v>107</v>
      </c>
      <c r="M630" t="s">
        <v>34</v>
      </c>
      <c r="N630">
        <v>5</v>
      </c>
      <c r="O630" t="s">
        <v>22</v>
      </c>
      <c r="P630">
        <v>1924.08</v>
      </c>
      <c r="Q630" t="s">
        <v>51</v>
      </c>
      <c r="R630" t="s">
        <v>51</v>
      </c>
      <c r="S630">
        <v>110001</v>
      </c>
      <c r="T630" t="s">
        <v>25</v>
      </c>
      <c r="U630" t="s">
        <v>26</v>
      </c>
    </row>
    <row r="631" spans="1:21" x14ac:dyDescent="0.3">
      <c r="A631">
        <v>630</v>
      </c>
      <c r="B631" t="s">
        <v>2209</v>
      </c>
      <c r="C631" t="s">
        <v>2210</v>
      </c>
      <c r="D631" t="s">
        <v>29</v>
      </c>
      <c r="E631">
        <v>20</v>
      </c>
      <c r="F631" t="str">
        <f t="shared" si="18"/>
        <v>Teenager</v>
      </c>
      <c r="G631" t="s">
        <v>179</v>
      </c>
      <c r="H631" t="str">
        <f t="shared" si="19"/>
        <v>Apr</v>
      </c>
      <c r="I631" t="s">
        <v>60</v>
      </c>
      <c r="J631" t="s">
        <v>101</v>
      </c>
      <c r="K631" t="s">
        <v>2211</v>
      </c>
      <c r="L631" t="s">
        <v>73</v>
      </c>
      <c r="M631" t="s">
        <v>50</v>
      </c>
      <c r="N631">
        <v>3</v>
      </c>
      <c r="O631" t="s">
        <v>22</v>
      </c>
      <c r="P631">
        <v>2210.12</v>
      </c>
      <c r="Q631" t="s">
        <v>35</v>
      </c>
      <c r="R631" t="s">
        <v>36</v>
      </c>
      <c r="S631">
        <v>560001</v>
      </c>
      <c r="T631" t="s">
        <v>25</v>
      </c>
      <c r="U631" t="s">
        <v>26</v>
      </c>
    </row>
    <row r="632" spans="1:21" x14ac:dyDescent="0.3">
      <c r="A632">
        <v>631</v>
      </c>
      <c r="B632" t="s">
        <v>2212</v>
      </c>
      <c r="C632" t="s">
        <v>2213</v>
      </c>
      <c r="D632" t="s">
        <v>29</v>
      </c>
      <c r="E632">
        <v>34</v>
      </c>
      <c r="F632" t="str">
        <f t="shared" si="18"/>
        <v>Adult</v>
      </c>
      <c r="G632" t="s">
        <v>1364</v>
      </c>
      <c r="H632" t="str">
        <f t="shared" si="19"/>
        <v>Mar</v>
      </c>
      <c r="I632" t="s">
        <v>60</v>
      </c>
      <c r="J632" t="s">
        <v>101</v>
      </c>
      <c r="K632" t="s">
        <v>2214</v>
      </c>
      <c r="L632" t="s">
        <v>56</v>
      </c>
      <c r="M632" t="s">
        <v>50</v>
      </c>
      <c r="N632">
        <v>4</v>
      </c>
      <c r="O632" t="s">
        <v>22</v>
      </c>
      <c r="P632">
        <v>2026.42</v>
      </c>
      <c r="Q632" t="s">
        <v>35</v>
      </c>
      <c r="R632" t="s">
        <v>36</v>
      </c>
      <c r="S632">
        <v>560001</v>
      </c>
      <c r="T632" t="s">
        <v>25</v>
      </c>
      <c r="U632" t="s">
        <v>26</v>
      </c>
    </row>
    <row r="633" spans="1:21" x14ac:dyDescent="0.3">
      <c r="A633">
        <v>632</v>
      </c>
      <c r="B633" t="s">
        <v>2215</v>
      </c>
      <c r="C633" t="s">
        <v>2216</v>
      </c>
      <c r="D633" t="s">
        <v>29</v>
      </c>
      <c r="E633">
        <v>19</v>
      </c>
      <c r="F633" t="str">
        <f t="shared" si="18"/>
        <v>Teenager</v>
      </c>
      <c r="G633" t="s">
        <v>653</v>
      </c>
      <c r="H633" t="str">
        <f t="shared" si="19"/>
        <v>Nov</v>
      </c>
      <c r="I633" t="s">
        <v>60</v>
      </c>
      <c r="J633" t="s">
        <v>18</v>
      </c>
      <c r="K633" t="s">
        <v>2217</v>
      </c>
      <c r="L633" t="s">
        <v>62</v>
      </c>
      <c r="M633" t="s">
        <v>34</v>
      </c>
      <c r="N633">
        <v>3</v>
      </c>
      <c r="O633" t="s">
        <v>22</v>
      </c>
      <c r="P633">
        <v>1542.47</v>
      </c>
      <c r="Q633" t="s">
        <v>74</v>
      </c>
      <c r="R633" t="s">
        <v>75</v>
      </c>
      <c r="S633">
        <v>226001</v>
      </c>
      <c r="T633" t="s">
        <v>25</v>
      </c>
      <c r="U633" t="s">
        <v>26</v>
      </c>
    </row>
    <row r="634" spans="1:21" x14ac:dyDescent="0.3">
      <c r="A634">
        <v>633</v>
      </c>
      <c r="B634" t="s">
        <v>2218</v>
      </c>
      <c r="C634" t="s">
        <v>2219</v>
      </c>
      <c r="D634" t="s">
        <v>15</v>
      </c>
      <c r="E634">
        <v>52</v>
      </c>
      <c r="F634" t="str">
        <f t="shared" si="18"/>
        <v>Senior</v>
      </c>
      <c r="G634" t="s">
        <v>1450</v>
      </c>
      <c r="H634" t="str">
        <f t="shared" si="19"/>
        <v>Jul</v>
      </c>
      <c r="I634" t="s">
        <v>60</v>
      </c>
      <c r="J634" t="s">
        <v>31</v>
      </c>
      <c r="K634" t="s">
        <v>2220</v>
      </c>
      <c r="L634" t="s">
        <v>56</v>
      </c>
      <c r="M634" t="s">
        <v>34</v>
      </c>
      <c r="N634">
        <v>4</v>
      </c>
      <c r="O634" t="s">
        <v>22</v>
      </c>
      <c r="P634">
        <v>1394.92</v>
      </c>
      <c r="Q634" t="s">
        <v>74</v>
      </c>
      <c r="R634" t="s">
        <v>75</v>
      </c>
      <c r="S634">
        <v>226001</v>
      </c>
      <c r="T634" t="s">
        <v>25</v>
      </c>
      <c r="U634" t="s">
        <v>26</v>
      </c>
    </row>
    <row r="635" spans="1:21" x14ac:dyDescent="0.3">
      <c r="A635">
        <v>634</v>
      </c>
      <c r="B635" t="s">
        <v>2221</v>
      </c>
      <c r="C635" t="s">
        <v>2222</v>
      </c>
      <c r="D635" t="s">
        <v>29</v>
      </c>
      <c r="E635">
        <v>22</v>
      </c>
      <c r="F635" t="str">
        <f t="shared" si="18"/>
        <v>Teenager</v>
      </c>
      <c r="G635" t="s">
        <v>419</v>
      </c>
      <c r="H635" t="str">
        <f t="shared" si="19"/>
        <v>Jun</v>
      </c>
      <c r="I635" t="s">
        <v>60</v>
      </c>
      <c r="J635" t="s">
        <v>40</v>
      </c>
      <c r="K635" t="s">
        <v>2223</v>
      </c>
      <c r="L635" t="s">
        <v>56</v>
      </c>
      <c r="M635" t="s">
        <v>21</v>
      </c>
      <c r="N635">
        <v>1</v>
      </c>
      <c r="O635" t="s">
        <v>22</v>
      </c>
      <c r="P635">
        <v>1410.91</v>
      </c>
      <c r="Q635" t="s">
        <v>74</v>
      </c>
      <c r="R635" t="s">
        <v>75</v>
      </c>
      <c r="S635">
        <v>226001</v>
      </c>
      <c r="T635" t="s">
        <v>25</v>
      </c>
      <c r="U635" t="s">
        <v>44</v>
      </c>
    </row>
    <row r="636" spans="1:21" x14ac:dyDescent="0.3">
      <c r="A636">
        <v>635</v>
      </c>
      <c r="B636" t="s">
        <v>2224</v>
      </c>
      <c r="C636" t="s">
        <v>2225</v>
      </c>
      <c r="D636" t="s">
        <v>15</v>
      </c>
      <c r="E636">
        <v>31</v>
      </c>
      <c r="F636" t="str">
        <f t="shared" si="18"/>
        <v>Adult</v>
      </c>
      <c r="G636" t="s">
        <v>806</v>
      </c>
      <c r="H636" t="str">
        <f t="shared" si="19"/>
        <v>Jun</v>
      </c>
      <c r="I636" t="s">
        <v>60</v>
      </c>
      <c r="J636" t="s">
        <v>79</v>
      </c>
      <c r="K636" t="s">
        <v>2226</v>
      </c>
      <c r="L636" t="s">
        <v>107</v>
      </c>
      <c r="M636" t="s">
        <v>50</v>
      </c>
      <c r="N636">
        <v>2</v>
      </c>
      <c r="O636" t="s">
        <v>22</v>
      </c>
      <c r="P636">
        <v>2625.25</v>
      </c>
      <c r="Q636" t="s">
        <v>42</v>
      </c>
      <c r="R636" t="s">
        <v>43</v>
      </c>
      <c r="S636">
        <v>302001</v>
      </c>
      <c r="T636" t="s">
        <v>25</v>
      </c>
      <c r="U636" t="s">
        <v>26</v>
      </c>
    </row>
    <row r="637" spans="1:21" x14ac:dyDescent="0.3">
      <c r="A637">
        <v>636</v>
      </c>
      <c r="B637" t="s">
        <v>2227</v>
      </c>
      <c r="C637" t="s">
        <v>2228</v>
      </c>
      <c r="D637" t="s">
        <v>15</v>
      </c>
      <c r="E637">
        <v>22</v>
      </c>
      <c r="F637" t="str">
        <f t="shared" si="18"/>
        <v>Teenager</v>
      </c>
      <c r="G637" t="s">
        <v>1629</v>
      </c>
      <c r="H637" t="str">
        <f t="shared" si="19"/>
        <v>Sep</v>
      </c>
      <c r="I637" t="s">
        <v>60</v>
      </c>
      <c r="J637" t="s">
        <v>40</v>
      </c>
      <c r="K637" t="s">
        <v>2229</v>
      </c>
      <c r="L637" t="s">
        <v>73</v>
      </c>
      <c r="M637" t="s">
        <v>85</v>
      </c>
      <c r="N637">
        <v>3</v>
      </c>
      <c r="O637" t="s">
        <v>22</v>
      </c>
      <c r="P637">
        <v>2468.2600000000002</v>
      </c>
      <c r="Q637" t="s">
        <v>42</v>
      </c>
      <c r="R637" t="s">
        <v>43</v>
      </c>
      <c r="S637">
        <v>302001</v>
      </c>
      <c r="T637" t="s">
        <v>25</v>
      </c>
      <c r="U637" t="s">
        <v>44</v>
      </c>
    </row>
    <row r="638" spans="1:21" x14ac:dyDescent="0.3">
      <c r="A638">
        <v>637</v>
      </c>
      <c r="B638" t="s">
        <v>2230</v>
      </c>
      <c r="C638" t="s">
        <v>2231</v>
      </c>
      <c r="D638" t="s">
        <v>29</v>
      </c>
      <c r="E638">
        <v>46</v>
      </c>
      <c r="F638" t="str">
        <f t="shared" si="18"/>
        <v>Adult</v>
      </c>
      <c r="G638" t="s">
        <v>954</v>
      </c>
      <c r="H638" t="str">
        <f t="shared" si="19"/>
        <v>Feb</v>
      </c>
      <c r="I638" t="s">
        <v>60</v>
      </c>
      <c r="J638" t="s">
        <v>71</v>
      </c>
      <c r="K638" t="s">
        <v>2232</v>
      </c>
      <c r="L638" t="s">
        <v>20</v>
      </c>
      <c r="M638" t="s">
        <v>50</v>
      </c>
      <c r="N638">
        <v>2</v>
      </c>
      <c r="O638" t="s">
        <v>22</v>
      </c>
      <c r="P638">
        <v>3674.72</v>
      </c>
      <c r="Q638" t="s">
        <v>51</v>
      </c>
      <c r="R638" t="s">
        <v>51</v>
      </c>
      <c r="S638">
        <v>110001</v>
      </c>
      <c r="T638" t="s">
        <v>25</v>
      </c>
      <c r="U638" t="s">
        <v>26</v>
      </c>
    </row>
    <row r="639" spans="1:21" x14ac:dyDescent="0.3">
      <c r="A639">
        <v>638</v>
      </c>
      <c r="B639" t="s">
        <v>2233</v>
      </c>
      <c r="C639" t="s">
        <v>2234</v>
      </c>
      <c r="D639" t="s">
        <v>29</v>
      </c>
      <c r="E639">
        <v>30</v>
      </c>
      <c r="F639" t="str">
        <f t="shared" si="18"/>
        <v>Adult</v>
      </c>
      <c r="G639" t="s">
        <v>954</v>
      </c>
      <c r="H639" t="str">
        <f t="shared" si="19"/>
        <v>Feb</v>
      </c>
      <c r="I639" t="s">
        <v>60</v>
      </c>
      <c r="J639" t="s">
        <v>101</v>
      </c>
      <c r="K639" t="s">
        <v>2235</v>
      </c>
      <c r="L639" t="s">
        <v>62</v>
      </c>
      <c r="M639" t="s">
        <v>34</v>
      </c>
      <c r="N639">
        <v>3</v>
      </c>
      <c r="O639" t="s">
        <v>22</v>
      </c>
      <c r="P639">
        <v>2241.3000000000002</v>
      </c>
      <c r="Q639" t="s">
        <v>42</v>
      </c>
      <c r="R639" t="s">
        <v>43</v>
      </c>
      <c r="S639">
        <v>302001</v>
      </c>
      <c r="T639" t="s">
        <v>25</v>
      </c>
      <c r="U639" t="s">
        <v>44</v>
      </c>
    </row>
    <row r="640" spans="1:21" x14ac:dyDescent="0.3">
      <c r="A640">
        <v>639</v>
      </c>
      <c r="B640" t="s">
        <v>2236</v>
      </c>
      <c r="C640" t="s">
        <v>2237</v>
      </c>
      <c r="D640" t="s">
        <v>29</v>
      </c>
      <c r="E640">
        <v>38</v>
      </c>
      <c r="F640" t="str">
        <f t="shared" si="18"/>
        <v>Adult</v>
      </c>
      <c r="G640" t="s">
        <v>1193</v>
      </c>
      <c r="H640" t="str">
        <f t="shared" si="19"/>
        <v>Dec</v>
      </c>
      <c r="I640" t="s">
        <v>60</v>
      </c>
      <c r="J640" t="s">
        <v>101</v>
      </c>
      <c r="K640" t="s">
        <v>2238</v>
      </c>
      <c r="L640" t="s">
        <v>62</v>
      </c>
      <c r="M640" t="s">
        <v>50</v>
      </c>
      <c r="N640">
        <v>5</v>
      </c>
      <c r="O640" t="s">
        <v>22</v>
      </c>
      <c r="P640">
        <v>3487.91</v>
      </c>
      <c r="Q640" t="s">
        <v>51</v>
      </c>
      <c r="R640" t="s">
        <v>51</v>
      </c>
      <c r="S640">
        <v>110001</v>
      </c>
      <c r="T640" t="s">
        <v>25</v>
      </c>
      <c r="U640" t="s">
        <v>26</v>
      </c>
    </row>
    <row r="641" spans="1:21" x14ac:dyDescent="0.3">
      <c r="A641">
        <v>640</v>
      </c>
      <c r="B641" t="s">
        <v>2239</v>
      </c>
      <c r="C641" t="s">
        <v>2240</v>
      </c>
      <c r="D641" t="s">
        <v>15</v>
      </c>
      <c r="E641">
        <v>24</v>
      </c>
      <c r="F641" t="str">
        <f t="shared" si="18"/>
        <v>Teenager</v>
      </c>
      <c r="G641" t="s">
        <v>939</v>
      </c>
      <c r="H641" t="str">
        <f t="shared" si="19"/>
        <v>Aug</v>
      </c>
      <c r="I641" t="s">
        <v>60</v>
      </c>
      <c r="J641" t="s">
        <v>31</v>
      </c>
      <c r="K641" t="s">
        <v>1651</v>
      </c>
      <c r="L641" t="s">
        <v>56</v>
      </c>
      <c r="M641" t="s">
        <v>21</v>
      </c>
      <c r="N641">
        <v>4</v>
      </c>
      <c r="O641" t="s">
        <v>22</v>
      </c>
      <c r="P641">
        <v>3548.48</v>
      </c>
      <c r="Q641" t="s">
        <v>74</v>
      </c>
      <c r="R641" t="s">
        <v>75</v>
      </c>
      <c r="S641">
        <v>226001</v>
      </c>
      <c r="T641" t="s">
        <v>25</v>
      </c>
      <c r="U641" t="s">
        <v>44</v>
      </c>
    </row>
    <row r="642" spans="1:21" x14ac:dyDescent="0.3">
      <c r="A642">
        <v>641</v>
      </c>
      <c r="B642" t="s">
        <v>2241</v>
      </c>
      <c r="C642" t="s">
        <v>2242</v>
      </c>
      <c r="D642" t="s">
        <v>15</v>
      </c>
      <c r="E642">
        <v>41</v>
      </c>
      <c r="F642" t="str">
        <f t="shared" si="18"/>
        <v>Adult</v>
      </c>
      <c r="G642" t="s">
        <v>2243</v>
      </c>
      <c r="H642" t="str">
        <f t="shared" si="19"/>
        <v>Dec</v>
      </c>
      <c r="I642" t="s">
        <v>60</v>
      </c>
      <c r="J642" t="s">
        <v>79</v>
      </c>
      <c r="K642" t="s">
        <v>2244</v>
      </c>
      <c r="L642" t="s">
        <v>56</v>
      </c>
      <c r="M642" t="s">
        <v>85</v>
      </c>
      <c r="N642">
        <v>4</v>
      </c>
      <c r="O642" t="s">
        <v>22</v>
      </c>
      <c r="P642">
        <v>2153.42</v>
      </c>
      <c r="Q642" t="s">
        <v>42</v>
      </c>
      <c r="R642" t="s">
        <v>43</v>
      </c>
      <c r="S642">
        <v>302001</v>
      </c>
      <c r="T642" t="s">
        <v>25</v>
      </c>
      <c r="U642" t="s">
        <v>44</v>
      </c>
    </row>
    <row r="643" spans="1:21" x14ac:dyDescent="0.3">
      <c r="A643">
        <v>642</v>
      </c>
      <c r="B643" t="s">
        <v>2245</v>
      </c>
      <c r="C643" t="s">
        <v>2246</v>
      </c>
      <c r="D643" t="s">
        <v>29</v>
      </c>
      <c r="E643">
        <v>36</v>
      </c>
      <c r="F643" t="str">
        <f t="shared" ref="F643:F706" si="20">IF(E643&gt;=50,"Senior", IF(E643&gt;=30, "Adult","Teenager"))</f>
        <v>Adult</v>
      </c>
      <c r="G643" t="s">
        <v>2247</v>
      </c>
      <c r="H643" t="str">
        <f t="shared" ref="H643:H706" si="21">TEXT(G643,"MMM")</f>
        <v>Mar</v>
      </c>
      <c r="I643" t="s">
        <v>60</v>
      </c>
      <c r="J643" t="s">
        <v>101</v>
      </c>
      <c r="K643" t="s">
        <v>2248</v>
      </c>
      <c r="L643" t="s">
        <v>33</v>
      </c>
      <c r="M643" t="s">
        <v>21</v>
      </c>
      <c r="N643">
        <v>3</v>
      </c>
      <c r="O643" t="s">
        <v>22</v>
      </c>
      <c r="P643">
        <v>4669.88</v>
      </c>
      <c r="Q643" t="s">
        <v>42</v>
      </c>
      <c r="R643" t="s">
        <v>43</v>
      </c>
      <c r="S643">
        <v>302001</v>
      </c>
      <c r="T643" t="s">
        <v>25</v>
      </c>
      <c r="U643" t="s">
        <v>44</v>
      </c>
    </row>
    <row r="644" spans="1:21" x14ac:dyDescent="0.3">
      <c r="A644">
        <v>643</v>
      </c>
      <c r="B644" t="s">
        <v>2249</v>
      </c>
      <c r="C644" t="s">
        <v>2250</v>
      </c>
      <c r="D644" t="s">
        <v>15</v>
      </c>
      <c r="E644">
        <v>54</v>
      </c>
      <c r="F644" t="str">
        <f t="shared" si="20"/>
        <v>Senior</v>
      </c>
      <c r="G644" t="s">
        <v>692</v>
      </c>
      <c r="H644" t="str">
        <f t="shared" si="21"/>
        <v>Dec</v>
      </c>
      <c r="I644" t="s">
        <v>60</v>
      </c>
      <c r="J644" t="s">
        <v>40</v>
      </c>
      <c r="K644" t="s">
        <v>2251</v>
      </c>
      <c r="L644" t="s">
        <v>62</v>
      </c>
      <c r="M644" t="s">
        <v>21</v>
      </c>
      <c r="N644">
        <v>4</v>
      </c>
      <c r="O644" t="s">
        <v>22</v>
      </c>
      <c r="P644">
        <v>2447.7600000000002</v>
      </c>
      <c r="Q644" t="s">
        <v>42</v>
      </c>
      <c r="R644" t="s">
        <v>43</v>
      </c>
      <c r="S644">
        <v>302001</v>
      </c>
      <c r="T644" t="s">
        <v>25</v>
      </c>
      <c r="U644" t="s">
        <v>44</v>
      </c>
    </row>
    <row r="645" spans="1:21" x14ac:dyDescent="0.3">
      <c r="A645">
        <v>644</v>
      </c>
      <c r="B645" t="s">
        <v>2252</v>
      </c>
      <c r="C645" t="s">
        <v>2253</v>
      </c>
      <c r="D645" t="s">
        <v>29</v>
      </c>
      <c r="E645">
        <v>55</v>
      </c>
      <c r="F645" t="str">
        <f t="shared" si="20"/>
        <v>Senior</v>
      </c>
      <c r="G645" t="s">
        <v>147</v>
      </c>
      <c r="H645" t="str">
        <f t="shared" si="21"/>
        <v>Oct</v>
      </c>
      <c r="I645" t="s">
        <v>60</v>
      </c>
      <c r="J645" t="s">
        <v>40</v>
      </c>
      <c r="K645" t="s">
        <v>2254</v>
      </c>
      <c r="L645" t="s">
        <v>20</v>
      </c>
      <c r="M645" t="s">
        <v>34</v>
      </c>
      <c r="N645">
        <v>2</v>
      </c>
      <c r="O645" t="s">
        <v>22</v>
      </c>
      <c r="P645">
        <v>3534.09</v>
      </c>
      <c r="Q645" t="s">
        <v>35</v>
      </c>
      <c r="R645" t="s">
        <v>36</v>
      </c>
      <c r="S645">
        <v>560001</v>
      </c>
      <c r="T645" t="s">
        <v>25</v>
      </c>
      <c r="U645" t="s">
        <v>26</v>
      </c>
    </row>
    <row r="646" spans="1:21" x14ac:dyDescent="0.3">
      <c r="A646">
        <v>645</v>
      </c>
      <c r="B646" t="s">
        <v>2255</v>
      </c>
      <c r="C646" t="s">
        <v>2256</v>
      </c>
      <c r="D646" t="s">
        <v>29</v>
      </c>
      <c r="E646">
        <v>33</v>
      </c>
      <c r="F646" t="str">
        <f t="shared" si="20"/>
        <v>Adult</v>
      </c>
      <c r="G646" t="s">
        <v>1217</v>
      </c>
      <c r="H646" t="str">
        <f t="shared" si="21"/>
        <v>Nov</v>
      </c>
      <c r="I646" t="s">
        <v>60</v>
      </c>
      <c r="J646" t="s">
        <v>40</v>
      </c>
      <c r="K646" t="s">
        <v>2257</v>
      </c>
      <c r="L646" t="s">
        <v>107</v>
      </c>
      <c r="M646" t="s">
        <v>85</v>
      </c>
      <c r="N646">
        <v>3</v>
      </c>
      <c r="O646" t="s">
        <v>22</v>
      </c>
      <c r="P646">
        <v>4275.03</v>
      </c>
      <c r="Q646" t="s">
        <v>51</v>
      </c>
      <c r="R646" t="s">
        <v>51</v>
      </c>
      <c r="S646">
        <v>110001</v>
      </c>
      <c r="T646" t="s">
        <v>25</v>
      </c>
      <c r="U646" t="s">
        <v>26</v>
      </c>
    </row>
    <row r="647" spans="1:21" x14ac:dyDescent="0.3">
      <c r="A647">
        <v>646</v>
      </c>
      <c r="B647" t="s">
        <v>2258</v>
      </c>
      <c r="C647" t="s">
        <v>2259</v>
      </c>
      <c r="D647" t="s">
        <v>29</v>
      </c>
      <c r="E647">
        <v>59</v>
      </c>
      <c r="F647" t="str">
        <f t="shared" si="20"/>
        <v>Senior</v>
      </c>
      <c r="G647" t="s">
        <v>1681</v>
      </c>
      <c r="H647" t="str">
        <f t="shared" si="21"/>
        <v>Mar</v>
      </c>
      <c r="I647" t="s">
        <v>60</v>
      </c>
      <c r="J647" t="s">
        <v>40</v>
      </c>
      <c r="K647" t="s">
        <v>2260</v>
      </c>
      <c r="L647" t="s">
        <v>33</v>
      </c>
      <c r="M647" t="s">
        <v>50</v>
      </c>
      <c r="N647">
        <v>5</v>
      </c>
      <c r="O647" t="s">
        <v>22</v>
      </c>
      <c r="P647">
        <v>529.62</v>
      </c>
      <c r="Q647" t="s">
        <v>35</v>
      </c>
      <c r="R647" t="s">
        <v>36</v>
      </c>
      <c r="S647">
        <v>560001</v>
      </c>
      <c r="T647" t="s">
        <v>25</v>
      </c>
      <c r="U647" t="s">
        <v>44</v>
      </c>
    </row>
    <row r="648" spans="1:21" x14ac:dyDescent="0.3">
      <c r="A648">
        <v>647</v>
      </c>
      <c r="B648" t="s">
        <v>2261</v>
      </c>
      <c r="C648" t="s">
        <v>2262</v>
      </c>
      <c r="D648" t="s">
        <v>15</v>
      </c>
      <c r="E648">
        <v>43</v>
      </c>
      <c r="F648" t="str">
        <f t="shared" si="20"/>
        <v>Adult</v>
      </c>
      <c r="G648" t="s">
        <v>1217</v>
      </c>
      <c r="H648" t="str">
        <f t="shared" si="21"/>
        <v>Nov</v>
      </c>
      <c r="I648" t="s">
        <v>60</v>
      </c>
      <c r="J648" t="s">
        <v>40</v>
      </c>
      <c r="K648" t="s">
        <v>2263</v>
      </c>
      <c r="L648" t="s">
        <v>20</v>
      </c>
      <c r="M648" t="s">
        <v>34</v>
      </c>
      <c r="N648">
        <v>4</v>
      </c>
      <c r="O648" t="s">
        <v>22</v>
      </c>
      <c r="P648">
        <v>890.09</v>
      </c>
      <c r="Q648" t="s">
        <v>51</v>
      </c>
      <c r="R648" t="s">
        <v>51</v>
      </c>
      <c r="S648">
        <v>110001</v>
      </c>
      <c r="T648" t="s">
        <v>25</v>
      </c>
      <c r="U648" t="s">
        <v>44</v>
      </c>
    </row>
    <row r="649" spans="1:21" x14ac:dyDescent="0.3">
      <c r="A649">
        <v>648</v>
      </c>
      <c r="B649" t="s">
        <v>2264</v>
      </c>
      <c r="C649" t="s">
        <v>2265</v>
      </c>
      <c r="D649" t="s">
        <v>15</v>
      </c>
      <c r="E649">
        <v>50</v>
      </c>
      <c r="F649" t="str">
        <f t="shared" si="20"/>
        <v>Senior</v>
      </c>
      <c r="G649" t="s">
        <v>500</v>
      </c>
      <c r="H649" t="str">
        <f t="shared" si="21"/>
        <v>May</v>
      </c>
      <c r="I649" t="s">
        <v>60</v>
      </c>
      <c r="J649" t="s">
        <v>40</v>
      </c>
      <c r="K649" t="s">
        <v>2266</v>
      </c>
      <c r="L649" t="s">
        <v>20</v>
      </c>
      <c r="M649" t="s">
        <v>85</v>
      </c>
      <c r="N649">
        <v>4</v>
      </c>
      <c r="O649" t="s">
        <v>22</v>
      </c>
      <c r="P649">
        <v>4952.1899999999996</v>
      </c>
      <c r="Q649" t="s">
        <v>42</v>
      </c>
      <c r="R649" t="s">
        <v>43</v>
      </c>
      <c r="S649">
        <v>302001</v>
      </c>
      <c r="T649" t="s">
        <v>25</v>
      </c>
      <c r="U649" t="s">
        <v>44</v>
      </c>
    </row>
    <row r="650" spans="1:21" x14ac:dyDescent="0.3">
      <c r="A650">
        <v>649</v>
      </c>
      <c r="B650" t="s">
        <v>2267</v>
      </c>
      <c r="C650" t="s">
        <v>2268</v>
      </c>
      <c r="D650" t="s">
        <v>29</v>
      </c>
      <c r="E650">
        <v>20</v>
      </c>
      <c r="F650" t="str">
        <f t="shared" si="20"/>
        <v>Teenager</v>
      </c>
      <c r="G650" t="s">
        <v>373</v>
      </c>
      <c r="H650" t="str">
        <f t="shared" si="21"/>
        <v>Sep</v>
      </c>
      <c r="I650" t="s">
        <v>60</v>
      </c>
      <c r="J650" t="s">
        <v>40</v>
      </c>
      <c r="K650" t="s">
        <v>2269</v>
      </c>
      <c r="L650" t="s">
        <v>56</v>
      </c>
      <c r="M650" t="s">
        <v>85</v>
      </c>
      <c r="N650">
        <v>2</v>
      </c>
      <c r="O650" t="s">
        <v>22</v>
      </c>
      <c r="P650">
        <v>1815.46</v>
      </c>
      <c r="Q650" t="s">
        <v>35</v>
      </c>
      <c r="R650" t="s">
        <v>36</v>
      </c>
      <c r="S650">
        <v>560001</v>
      </c>
      <c r="T650" t="s">
        <v>25</v>
      </c>
      <c r="U650" t="s">
        <v>26</v>
      </c>
    </row>
    <row r="651" spans="1:21" x14ac:dyDescent="0.3">
      <c r="A651">
        <v>650</v>
      </c>
      <c r="B651" t="s">
        <v>2270</v>
      </c>
      <c r="C651" t="s">
        <v>2271</v>
      </c>
      <c r="D651" t="s">
        <v>15</v>
      </c>
      <c r="E651">
        <v>40</v>
      </c>
      <c r="F651" t="str">
        <f t="shared" si="20"/>
        <v>Adult</v>
      </c>
      <c r="G651" t="s">
        <v>885</v>
      </c>
      <c r="H651" t="str">
        <f t="shared" si="21"/>
        <v>Nov</v>
      </c>
      <c r="I651" t="s">
        <v>60</v>
      </c>
      <c r="J651" t="s">
        <v>40</v>
      </c>
      <c r="K651" t="s">
        <v>2272</v>
      </c>
      <c r="L651" t="s">
        <v>107</v>
      </c>
      <c r="M651" t="s">
        <v>34</v>
      </c>
      <c r="N651">
        <v>5</v>
      </c>
      <c r="O651" t="s">
        <v>22</v>
      </c>
      <c r="P651">
        <v>4190.87</v>
      </c>
      <c r="Q651" t="s">
        <v>51</v>
      </c>
      <c r="R651" t="s">
        <v>51</v>
      </c>
      <c r="S651">
        <v>110001</v>
      </c>
      <c r="T651" t="s">
        <v>25</v>
      </c>
      <c r="U651" t="s">
        <v>26</v>
      </c>
    </row>
    <row r="652" spans="1:21" x14ac:dyDescent="0.3">
      <c r="A652">
        <v>651</v>
      </c>
      <c r="B652" t="s">
        <v>2273</v>
      </c>
      <c r="C652" t="s">
        <v>2097</v>
      </c>
      <c r="D652" t="s">
        <v>15</v>
      </c>
      <c r="E652">
        <v>41</v>
      </c>
      <c r="F652" t="str">
        <f t="shared" si="20"/>
        <v>Adult</v>
      </c>
      <c r="G652" t="s">
        <v>1703</v>
      </c>
      <c r="H652" t="str">
        <f t="shared" si="21"/>
        <v>Nov</v>
      </c>
      <c r="I652" t="s">
        <v>60</v>
      </c>
      <c r="J652" t="s">
        <v>40</v>
      </c>
      <c r="K652" t="s">
        <v>2274</v>
      </c>
      <c r="L652" t="s">
        <v>62</v>
      </c>
      <c r="M652" t="s">
        <v>34</v>
      </c>
      <c r="N652">
        <v>1</v>
      </c>
      <c r="O652" t="s">
        <v>22</v>
      </c>
      <c r="P652">
        <v>4511.0600000000004</v>
      </c>
      <c r="Q652" t="s">
        <v>42</v>
      </c>
      <c r="R652" t="s">
        <v>43</v>
      </c>
      <c r="S652">
        <v>302001</v>
      </c>
      <c r="T652" t="s">
        <v>25</v>
      </c>
      <c r="U652" t="s">
        <v>44</v>
      </c>
    </row>
    <row r="653" spans="1:21" x14ac:dyDescent="0.3">
      <c r="A653">
        <v>652</v>
      </c>
      <c r="B653" t="s">
        <v>2275</v>
      </c>
      <c r="C653" t="s">
        <v>2276</v>
      </c>
      <c r="D653" t="s">
        <v>15</v>
      </c>
      <c r="E653">
        <v>46</v>
      </c>
      <c r="F653" t="str">
        <f t="shared" si="20"/>
        <v>Adult</v>
      </c>
      <c r="G653" t="s">
        <v>1290</v>
      </c>
      <c r="H653" t="str">
        <f t="shared" si="21"/>
        <v>Feb</v>
      </c>
      <c r="I653" t="s">
        <v>60</v>
      </c>
      <c r="J653" t="s">
        <v>40</v>
      </c>
      <c r="K653" t="s">
        <v>2277</v>
      </c>
      <c r="L653" t="s">
        <v>56</v>
      </c>
      <c r="M653" t="s">
        <v>85</v>
      </c>
      <c r="N653">
        <v>2</v>
      </c>
      <c r="O653" t="s">
        <v>22</v>
      </c>
      <c r="P653">
        <v>2386.14</v>
      </c>
      <c r="Q653" t="s">
        <v>35</v>
      </c>
      <c r="R653" t="s">
        <v>36</v>
      </c>
      <c r="S653">
        <v>560001</v>
      </c>
      <c r="T653" t="s">
        <v>25</v>
      </c>
      <c r="U653" t="s">
        <v>26</v>
      </c>
    </row>
    <row r="654" spans="1:21" x14ac:dyDescent="0.3">
      <c r="A654">
        <v>653</v>
      </c>
      <c r="B654" t="s">
        <v>2278</v>
      </c>
      <c r="C654" t="s">
        <v>2279</v>
      </c>
      <c r="D654" t="s">
        <v>29</v>
      </c>
      <c r="E654">
        <v>19</v>
      </c>
      <c r="F654" t="str">
        <f t="shared" si="20"/>
        <v>Teenager</v>
      </c>
      <c r="G654" t="s">
        <v>2280</v>
      </c>
      <c r="H654" t="str">
        <f t="shared" si="21"/>
        <v>Apr</v>
      </c>
      <c r="I654" t="s">
        <v>60</v>
      </c>
      <c r="J654" t="s">
        <v>40</v>
      </c>
      <c r="K654" t="s">
        <v>2281</v>
      </c>
      <c r="L654" t="s">
        <v>33</v>
      </c>
      <c r="M654" t="s">
        <v>50</v>
      </c>
      <c r="N654">
        <v>4</v>
      </c>
      <c r="O654" t="s">
        <v>22</v>
      </c>
      <c r="P654">
        <v>4585</v>
      </c>
      <c r="Q654" t="s">
        <v>35</v>
      </c>
      <c r="R654" t="s">
        <v>36</v>
      </c>
      <c r="S654">
        <v>560001</v>
      </c>
      <c r="T654" t="s">
        <v>25</v>
      </c>
      <c r="U654" t="s">
        <v>26</v>
      </c>
    </row>
    <row r="655" spans="1:21" x14ac:dyDescent="0.3">
      <c r="A655">
        <v>654</v>
      </c>
      <c r="B655" t="s">
        <v>2282</v>
      </c>
      <c r="C655" t="s">
        <v>2283</v>
      </c>
      <c r="D655" t="s">
        <v>15</v>
      </c>
      <c r="E655">
        <v>57</v>
      </c>
      <c r="F655" t="str">
        <f t="shared" si="20"/>
        <v>Senior</v>
      </c>
      <c r="G655" t="s">
        <v>2088</v>
      </c>
      <c r="H655" t="str">
        <f t="shared" si="21"/>
        <v>Mar</v>
      </c>
      <c r="I655" t="s">
        <v>60</v>
      </c>
      <c r="J655" t="s">
        <v>40</v>
      </c>
      <c r="K655" t="s">
        <v>2284</v>
      </c>
      <c r="L655" t="s">
        <v>73</v>
      </c>
      <c r="M655" t="s">
        <v>21</v>
      </c>
      <c r="N655">
        <v>5</v>
      </c>
      <c r="O655" t="s">
        <v>22</v>
      </c>
      <c r="P655">
        <v>4095.28</v>
      </c>
      <c r="Q655" t="s">
        <v>74</v>
      </c>
      <c r="R655" t="s">
        <v>75</v>
      </c>
      <c r="S655">
        <v>226001</v>
      </c>
      <c r="T655" t="s">
        <v>25</v>
      </c>
      <c r="U655" t="s">
        <v>44</v>
      </c>
    </row>
    <row r="656" spans="1:21" x14ac:dyDescent="0.3">
      <c r="A656">
        <v>655</v>
      </c>
      <c r="B656" t="s">
        <v>2285</v>
      </c>
      <c r="C656" t="s">
        <v>2286</v>
      </c>
      <c r="D656" t="s">
        <v>15</v>
      </c>
      <c r="E656">
        <v>26</v>
      </c>
      <c r="F656" t="str">
        <f t="shared" si="20"/>
        <v>Teenager</v>
      </c>
      <c r="G656" t="s">
        <v>1109</v>
      </c>
      <c r="H656" t="str">
        <f t="shared" si="21"/>
        <v>Dec</v>
      </c>
      <c r="I656" t="s">
        <v>60</v>
      </c>
      <c r="J656" t="s">
        <v>40</v>
      </c>
      <c r="K656" t="s">
        <v>2287</v>
      </c>
      <c r="L656" t="s">
        <v>73</v>
      </c>
      <c r="M656" t="s">
        <v>50</v>
      </c>
      <c r="N656">
        <v>3</v>
      </c>
      <c r="O656" t="s">
        <v>22</v>
      </c>
      <c r="P656">
        <v>910.39</v>
      </c>
      <c r="Q656" t="s">
        <v>23</v>
      </c>
      <c r="R656" t="s">
        <v>24</v>
      </c>
      <c r="S656">
        <v>400001</v>
      </c>
      <c r="T656" t="s">
        <v>25</v>
      </c>
      <c r="U656" t="s">
        <v>26</v>
      </c>
    </row>
    <row r="657" spans="1:21" x14ac:dyDescent="0.3">
      <c r="A657">
        <v>656</v>
      </c>
      <c r="B657" t="s">
        <v>2288</v>
      </c>
      <c r="C657" t="s">
        <v>2289</v>
      </c>
      <c r="D657" t="s">
        <v>15</v>
      </c>
      <c r="E657">
        <v>52</v>
      </c>
      <c r="F657" t="str">
        <f t="shared" si="20"/>
        <v>Senior</v>
      </c>
      <c r="G657" t="s">
        <v>207</v>
      </c>
      <c r="H657" t="str">
        <f t="shared" si="21"/>
        <v>Jan</v>
      </c>
      <c r="I657" t="s">
        <v>60</v>
      </c>
      <c r="J657" t="s">
        <v>40</v>
      </c>
      <c r="K657" t="s">
        <v>2290</v>
      </c>
      <c r="L657" t="s">
        <v>20</v>
      </c>
      <c r="M657" t="s">
        <v>34</v>
      </c>
      <c r="N657">
        <v>5</v>
      </c>
      <c r="O657" t="s">
        <v>22</v>
      </c>
      <c r="P657">
        <v>629.58000000000004</v>
      </c>
      <c r="Q657" t="s">
        <v>74</v>
      </c>
      <c r="R657" t="s">
        <v>75</v>
      </c>
      <c r="S657">
        <v>226001</v>
      </c>
      <c r="T657" t="s">
        <v>25</v>
      </c>
      <c r="U657" t="s">
        <v>26</v>
      </c>
    </row>
    <row r="658" spans="1:21" x14ac:dyDescent="0.3">
      <c r="A658">
        <v>657</v>
      </c>
      <c r="B658" t="s">
        <v>2291</v>
      </c>
      <c r="C658" t="s">
        <v>870</v>
      </c>
      <c r="D658" t="s">
        <v>15</v>
      </c>
      <c r="E658">
        <v>30</v>
      </c>
      <c r="F658" t="str">
        <f t="shared" si="20"/>
        <v>Adult</v>
      </c>
      <c r="G658" t="s">
        <v>296</v>
      </c>
      <c r="H658" t="str">
        <f t="shared" si="21"/>
        <v>Jan</v>
      </c>
      <c r="I658" t="s">
        <v>60</v>
      </c>
      <c r="J658" t="s">
        <v>40</v>
      </c>
      <c r="K658" t="s">
        <v>2292</v>
      </c>
      <c r="L658" t="s">
        <v>20</v>
      </c>
      <c r="M658" t="s">
        <v>50</v>
      </c>
      <c r="N658">
        <v>3</v>
      </c>
      <c r="O658" t="s">
        <v>22</v>
      </c>
      <c r="P658">
        <v>3978.99</v>
      </c>
      <c r="Q658" t="s">
        <v>74</v>
      </c>
      <c r="R658" t="s">
        <v>75</v>
      </c>
      <c r="S658">
        <v>226001</v>
      </c>
      <c r="T658" t="s">
        <v>25</v>
      </c>
      <c r="U658" t="s">
        <v>44</v>
      </c>
    </row>
    <row r="659" spans="1:21" x14ac:dyDescent="0.3">
      <c r="A659">
        <v>658</v>
      </c>
      <c r="B659" t="s">
        <v>2293</v>
      </c>
      <c r="C659" t="s">
        <v>2294</v>
      </c>
      <c r="D659" t="s">
        <v>29</v>
      </c>
      <c r="E659">
        <v>23</v>
      </c>
      <c r="F659" t="str">
        <f t="shared" si="20"/>
        <v>Teenager</v>
      </c>
      <c r="G659" t="s">
        <v>557</v>
      </c>
      <c r="H659" t="str">
        <f t="shared" si="21"/>
        <v>Oct</v>
      </c>
      <c r="I659" t="s">
        <v>60</v>
      </c>
      <c r="J659" t="s">
        <v>40</v>
      </c>
      <c r="K659" t="s">
        <v>2295</v>
      </c>
      <c r="L659" t="s">
        <v>62</v>
      </c>
      <c r="M659" t="s">
        <v>34</v>
      </c>
      <c r="N659">
        <v>4</v>
      </c>
      <c r="O659" t="s">
        <v>22</v>
      </c>
      <c r="P659">
        <v>3581.68</v>
      </c>
      <c r="Q659" t="s">
        <v>35</v>
      </c>
      <c r="R659" t="s">
        <v>36</v>
      </c>
      <c r="S659">
        <v>560001</v>
      </c>
      <c r="T659" t="s">
        <v>25</v>
      </c>
      <c r="U659" t="s">
        <v>44</v>
      </c>
    </row>
    <row r="660" spans="1:21" x14ac:dyDescent="0.3">
      <c r="A660">
        <v>659</v>
      </c>
      <c r="B660" t="s">
        <v>2296</v>
      </c>
      <c r="C660" t="s">
        <v>1508</v>
      </c>
      <c r="D660" t="s">
        <v>15</v>
      </c>
      <c r="E660">
        <v>19</v>
      </c>
      <c r="F660" t="str">
        <f t="shared" si="20"/>
        <v>Teenager</v>
      </c>
      <c r="G660" t="s">
        <v>2297</v>
      </c>
      <c r="H660" t="str">
        <f t="shared" si="21"/>
        <v>Dec</v>
      </c>
      <c r="I660" t="s">
        <v>60</v>
      </c>
      <c r="J660" t="s">
        <v>40</v>
      </c>
      <c r="K660" t="s">
        <v>2298</v>
      </c>
      <c r="L660" t="s">
        <v>62</v>
      </c>
      <c r="M660" t="s">
        <v>34</v>
      </c>
      <c r="N660">
        <v>1</v>
      </c>
      <c r="O660" t="s">
        <v>22</v>
      </c>
      <c r="P660">
        <v>1583.84</v>
      </c>
      <c r="Q660" t="s">
        <v>74</v>
      </c>
      <c r="R660" t="s">
        <v>75</v>
      </c>
      <c r="S660">
        <v>226001</v>
      </c>
      <c r="T660" t="s">
        <v>25</v>
      </c>
      <c r="U660" t="s">
        <v>26</v>
      </c>
    </row>
    <row r="661" spans="1:21" x14ac:dyDescent="0.3">
      <c r="A661">
        <v>660</v>
      </c>
      <c r="B661" t="s">
        <v>2299</v>
      </c>
      <c r="C661" t="s">
        <v>2300</v>
      </c>
      <c r="D661" t="s">
        <v>15</v>
      </c>
      <c r="E661">
        <v>47</v>
      </c>
      <c r="F661" t="str">
        <f t="shared" si="20"/>
        <v>Adult</v>
      </c>
      <c r="G661" t="s">
        <v>469</v>
      </c>
      <c r="H661" t="str">
        <f t="shared" si="21"/>
        <v>Mar</v>
      </c>
      <c r="I661" t="s">
        <v>60</v>
      </c>
      <c r="J661" t="s">
        <v>40</v>
      </c>
      <c r="K661" t="s">
        <v>2301</v>
      </c>
      <c r="L661" t="s">
        <v>56</v>
      </c>
      <c r="M661" t="s">
        <v>34</v>
      </c>
      <c r="N661">
        <v>4</v>
      </c>
      <c r="O661" t="s">
        <v>22</v>
      </c>
      <c r="P661">
        <v>2127.85</v>
      </c>
      <c r="Q661" t="s">
        <v>74</v>
      </c>
      <c r="R661" t="s">
        <v>75</v>
      </c>
      <c r="S661">
        <v>226001</v>
      </c>
      <c r="T661" t="s">
        <v>25</v>
      </c>
      <c r="U661" t="s">
        <v>44</v>
      </c>
    </row>
    <row r="662" spans="1:21" x14ac:dyDescent="0.3">
      <c r="A662">
        <v>661</v>
      </c>
      <c r="B662" t="s">
        <v>2302</v>
      </c>
      <c r="C662" t="s">
        <v>2303</v>
      </c>
      <c r="D662" t="s">
        <v>15</v>
      </c>
      <c r="E662">
        <v>24</v>
      </c>
      <c r="F662" t="str">
        <f t="shared" si="20"/>
        <v>Teenager</v>
      </c>
      <c r="G662" t="s">
        <v>159</v>
      </c>
      <c r="H662" t="str">
        <f t="shared" si="21"/>
        <v>Aug</v>
      </c>
      <c r="I662" t="s">
        <v>60</v>
      </c>
      <c r="J662" t="s">
        <v>40</v>
      </c>
      <c r="K662" t="s">
        <v>2304</v>
      </c>
      <c r="L662" t="s">
        <v>73</v>
      </c>
      <c r="M662" t="s">
        <v>50</v>
      </c>
      <c r="N662">
        <v>5</v>
      </c>
      <c r="O662" t="s">
        <v>22</v>
      </c>
      <c r="P662">
        <v>2603.7800000000002</v>
      </c>
      <c r="Q662" t="s">
        <v>42</v>
      </c>
      <c r="R662" t="s">
        <v>43</v>
      </c>
      <c r="S662">
        <v>302001</v>
      </c>
      <c r="T662" t="s">
        <v>25</v>
      </c>
      <c r="U662" t="s">
        <v>26</v>
      </c>
    </row>
    <row r="663" spans="1:21" x14ac:dyDescent="0.3">
      <c r="A663">
        <v>662</v>
      </c>
      <c r="B663" t="s">
        <v>2305</v>
      </c>
      <c r="C663" t="s">
        <v>2306</v>
      </c>
      <c r="D663" t="s">
        <v>15</v>
      </c>
      <c r="E663">
        <v>23</v>
      </c>
      <c r="F663" t="str">
        <f t="shared" si="20"/>
        <v>Teenager</v>
      </c>
      <c r="G663" t="s">
        <v>978</v>
      </c>
      <c r="H663" t="str">
        <f t="shared" si="21"/>
        <v>Jan</v>
      </c>
      <c r="I663" t="s">
        <v>60</v>
      </c>
      <c r="J663" t="s">
        <v>40</v>
      </c>
      <c r="K663" t="s">
        <v>2307</v>
      </c>
      <c r="L663" t="s">
        <v>62</v>
      </c>
      <c r="M663" t="s">
        <v>21</v>
      </c>
      <c r="N663">
        <v>1</v>
      </c>
      <c r="O663" t="s">
        <v>22</v>
      </c>
      <c r="P663">
        <v>1872.21</v>
      </c>
      <c r="Q663" t="s">
        <v>51</v>
      </c>
      <c r="R663" t="s">
        <v>51</v>
      </c>
      <c r="S663">
        <v>110001</v>
      </c>
      <c r="T663" t="s">
        <v>25</v>
      </c>
      <c r="U663" t="s">
        <v>26</v>
      </c>
    </row>
    <row r="664" spans="1:21" x14ac:dyDescent="0.3">
      <c r="A664">
        <v>663</v>
      </c>
      <c r="B664" t="s">
        <v>2308</v>
      </c>
      <c r="C664" t="s">
        <v>2309</v>
      </c>
      <c r="D664" t="s">
        <v>15</v>
      </c>
      <c r="E664">
        <v>19</v>
      </c>
      <c r="F664" t="str">
        <f t="shared" si="20"/>
        <v>Teenager</v>
      </c>
      <c r="G664" t="s">
        <v>171</v>
      </c>
      <c r="H664" t="str">
        <f t="shared" si="21"/>
        <v>Jul</v>
      </c>
      <c r="I664" t="s">
        <v>60</v>
      </c>
      <c r="J664" t="s">
        <v>40</v>
      </c>
      <c r="K664" t="s">
        <v>2310</v>
      </c>
      <c r="L664" t="s">
        <v>56</v>
      </c>
      <c r="M664" t="s">
        <v>85</v>
      </c>
      <c r="N664">
        <v>1</v>
      </c>
      <c r="O664" t="s">
        <v>22</v>
      </c>
      <c r="P664">
        <v>4771.5600000000004</v>
      </c>
      <c r="Q664" t="s">
        <v>42</v>
      </c>
      <c r="R664" t="s">
        <v>43</v>
      </c>
      <c r="S664">
        <v>302001</v>
      </c>
      <c r="T664" t="s">
        <v>25</v>
      </c>
      <c r="U664" t="s">
        <v>44</v>
      </c>
    </row>
    <row r="665" spans="1:21" x14ac:dyDescent="0.3">
      <c r="A665">
        <v>664</v>
      </c>
      <c r="B665" t="s">
        <v>2311</v>
      </c>
      <c r="C665" t="s">
        <v>2312</v>
      </c>
      <c r="D665" t="s">
        <v>15</v>
      </c>
      <c r="E665">
        <v>30</v>
      </c>
      <c r="F665" t="str">
        <f t="shared" si="20"/>
        <v>Adult</v>
      </c>
      <c r="G665" t="s">
        <v>2313</v>
      </c>
      <c r="H665" t="str">
        <f t="shared" si="21"/>
        <v>Jul</v>
      </c>
      <c r="I665" t="s">
        <v>60</v>
      </c>
      <c r="J665" t="s">
        <v>40</v>
      </c>
      <c r="K665" t="s">
        <v>2314</v>
      </c>
      <c r="L665" t="s">
        <v>56</v>
      </c>
      <c r="M665" t="s">
        <v>50</v>
      </c>
      <c r="N665">
        <v>4</v>
      </c>
      <c r="O665" t="s">
        <v>22</v>
      </c>
      <c r="P665">
        <v>1550.19</v>
      </c>
      <c r="Q665" t="s">
        <v>42</v>
      </c>
      <c r="R665" t="s">
        <v>43</v>
      </c>
      <c r="S665">
        <v>302001</v>
      </c>
      <c r="T665" t="s">
        <v>25</v>
      </c>
      <c r="U665" t="s">
        <v>44</v>
      </c>
    </row>
    <row r="666" spans="1:21" x14ac:dyDescent="0.3">
      <c r="A666">
        <v>665</v>
      </c>
      <c r="B666" t="s">
        <v>2315</v>
      </c>
      <c r="C666" t="s">
        <v>2316</v>
      </c>
      <c r="D666" t="s">
        <v>29</v>
      </c>
      <c r="E666">
        <v>56</v>
      </c>
      <c r="F666" t="str">
        <f t="shared" si="20"/>
        <v>Senior</v>
      </c>
      <c r="G666" t="s">
        <v>2317</v>
      </c>
      <c r="H666" t="str">
        <f t="shared" si="21"/>
        <v>Jun</v>
      </c>
      <c r="I666" t="s">
        <v>60</v>
      </c>
      <c r="J666" t="s">
        <v>40</v>
      </c>
      <c r="K666" t="s">
        <v>2318</v>
      </c>
      <c r="L666" t="s">
        <v>56</v>
      </c>
      <c r="M666" t="s">
        <v>50</v>
      </c>
      <c r="N666">
        <v>3</v>
      </c>
      <c r="O666" t="s">
        <v>22</v>
      </c>
      <c r="P666">
        <v>4109.04</v>
      </c>
      <c r="Q666" t="s">
        <v>42</v>
      </c>
      <c r="R666" t="s">
        <v>43</v>
      </c>
      <c r="S666">
        <v>302001</v>
      </c>
      <c r="T666" t="s">
        <v>25</v>
      </c>
      <c r="U666" t="s">
        <v>44</v>
      </c>
    </row>
    <row r="667" spans="1:21" x14ac:dyDescent="0.3">
      <c r="A667">
        <v>666</v>
      </c>
      <c r="B667" t="s">
        <v>2319</v>
      </c>
      <c r="C667" t="s">
        <v>2320</v>
      </c>
      <c r="D667" t="s">
        <v>15</v>
      </c>
      <c r="E667">
        <v>40</v>
      </c>
      <c r="F667" t="str">
        <f t="shared" si="20"/>
        <v>Adult</v>
      </c>
      <c r="G667" t="s">
        <v>1749</v>
      </c>
      <c r="H667" t="str">
        <f t="shared" si="21"/>
        <v>Jan</v>
      </c>
      <c r="I667" t="s">
        <v>60</v>
      </c>
      <c r="J667" t="s">
        <v>40</v>
      </c>
      <c r="K667" t="s">
        <v>2321</v>
      </c>
      <c r="L667" t="s">
        <v>33</v>
      </c>
      <c r="M667" t="s">
        <v>50</v>
      </c>
      <c r="N667">
        <v>3</v>
      </c>
      <c r="O667" t="s">
        <v>22</v>
      </c>
      <c r="P667">
        <v>2401.83</v>
      </c>
      <c r="Q667" t="s">
        <v>51</v>
      </c>
      <c r="R667" t="s">
        <v>51</v>
      </c>
      <c r="S667">
        <v>110001</v>
      </c>
      <c r="T667" t="s">
        <v>25</v>
      </c>
      <c r="U667" t="s">
        <v>44</v>
      </c>
    </row>
    <row r="668" spans="1:21" x14ac:dyDescent="0.3">
      <c r="A668">
        <v>667</v>
      </c>
      <c r="B668" t="s">
        <v>2322</v>
      </c>
      <c r="C668" t="s">
        <v>2323</v>
      </c>
      <c r="D668" t="s">
        <v>29</v>
      </c>
      <c r="E668">
        <v>48</v>
      </c>
      <c r="F668" t="str">
        <f t="shared" si="20"/>
        <v>Adult</v>
      </c>
      <c r="G668" t="s">
        <v>1140</v>
      </c>
      <c r="H668" t="str">
        <f t="shared" si="21"/>
        <v>Jan</v>
      </c>
      <c r="I668" t="s">
        <v>60</v>
      </c>
      <c r="J668" t="s">
        <v>40</v>
      </c>
      <c r="K668" t="s">
        <v>2324</v>
      </c>
      <c r="L668" t="s">
        <v>33</v>
      </c>
      <c r="M668" t="s">
        <v>50</v>
      </c>
      <c r="N668">
        <v>2</v>
      </c>
      <c r="O668" t="s">
        <v>22</v>
      </c>
      <c r="P668">
        <v>2512.66</v>
      </c>
      <c r="Q668" t="s">
        <v>35</v>
      </c>
      <c r="R668" t="s">
        <v>36</v>
      </c>
      <c r="S668">
        <v>560001</v>
      </c>
      <c r="T668" t="s">
        <v>25</v>
      </c>
      <c r="U668" t="s">
        <v>44</v>
      </c>
    </row>
    <row r="669" spans="1:21" x14ac:dyDescent="0.3">
      <c r="A669">
        <v>668</v>
      </c>
      <c r="B669" t="s">
        <v>2325</v>
      </c>
      <c r="C669" t="s">
        <v>1583</v>
      </c>
      <c r="D669" t="s">
        <v>29</v>
      </c>
      <c r="E669">
        <v>40</v>
      </c>
      <c r="F669" t="str">
        <f t="shared" si="20"/>
        <v>Adult</v>
      </c>
      <c r="G669" t="s">
        <v>718</v>
      </c>
      <c r="H669" t="str">
        <f t="shared" si="21"/>
        <v>Jul</v>
      </c>
      <c r="I669" t="s">
        <v>60</v>
      </c>
      <c r="J669" t="s">
        <v>40</v>
      </c>
      <c r="K669" t="s">
        <v>2326</v>
      </c>
      <c r="L669" t="s">
        <v>107</v>
      </c>
      <c r="M669" t="s">
        <v>50</v>
      </c>
      <c r="N669">
        <v>5</v>
      </c>
      <c r="O669" t="s">
        <v>22</v>
      </c>
      <c r="P669">
        <v>2987.52</v>
      </c>
      <c r="Q669" t="s">
        <v>51</v>
      </c>
      <c r="R669" t="s">
        <v>51</v>
      </c>
      <c r="S669">
        <v>110001</v>
      </c>
      <c r="T669" t="s">
        <v>25</v>
      </c>
      <c r="U669" t="s">
        <v>26</v>
      </c>
    </row>
    <row r="670" spans="1:21" x14ac:dyDescent="0.3">
      <c r="A670">
        <v>669</v>
      </c>
      <c r="B670" t="s">
        <v>2327</v>
      </c>
      <c r="C670" t="s">
        <v>2328</v>
      </c>
      <c r="D670" t="s">
        <v>15</v>
      </c>
      <c r="E670">
        <v>56</v>
      </c>
      <c r="F670" t="str">
        <f t="shared" si="20"/>
        <v>Senior</v>
      </c>
      <c r="G670" t="s">
        <v>69</v>
      </c>
      <c r="H670" t="str">
        <f t="shared" si="21"/>
        <v>Mar</v>
      </c>
      <c r="I670" t="s">
        <v>60</v>
      </c>
      <c r="J670" t="s">
        <v>40</v>
      </c>
      <c r="K670" t="s">
        <v>2329</v>
      </c>
      <c r="L670" t="s">
        <v>107</v>
      </c>
      <c r="M670" t="s">
        <v>50</v>
      </c>
      <c r="N670">
        <v>4</v>
      </c>
      <c r="O670" t="s">
        <v>22</v>
      </c>
      <c r="P670">
        <v>1606.98</v>
      </c>
      <c r="Q670" t="s">
        <v>51</v>
      </c>
      <c r="R670" t="s">
        <v>51</v>
      </c>
      <c r="S670">
        <v>110001</v>
      </c>
      <c r="T670" t="s">
        <v>25</v>
      </c>
      <c r="U670" t="s">
        <v>26</v>
      </c>
    </row>
    <row r="671" spans="1:21" x14ac:dyDescent="0.3">
      <c r="A671">
        <v>670</v>
      </c>
      <c r="B671" t="s">
        <v>2330</v>
      </c>
      <c r="C671" t="s">
        <v>1715</v>
      </c>
      <c r="D671" t="s">
        <v>15</v>
      </c>
      <c r="E671">
        <v>23</v>
      </c>
      <c r="F671" t="str">
        <f t="shared" si="20"/>
        <v>Teenager</v>
      </c>
      <c r="G671" t="s">
        <v>2331</v>
      </c>
      <c r="H671" t="str">
        <f t="shared" si="21"/>
        <v>Feb</v>
      </c>
      <c r="I671" t="s">
        <v>60</v>
      </c>
      <c r="J671" t="s">
        <v>40</v>
      </c>
      <c r="K671" t="s">
        <v>2332</v>
      </c>
      <c r="L671" t="s">
        <v>107</v>
      </c>
      <c r="M671" t="s">
        <v>34</v>
      </c>
      <c r="N671">
        <v>2</v>
      </c>
      <c r="O671" t="s">
        <v>22</v>
      </c>
      <c r="P671">
        <v>3304.63</v>
      </c>
      <c r="Q671" t="s">
        <v>74</v>
      </c>
      <c r="R671" t="s">
        <v>75</v>
      </c>
      <c r="S671">
        <v>226001</v>
      </c>
      <c r="T671" t="s">
        <v>25</v>
      </c>
      <c r="U671" t="s">
        <v>44</v>
      </c>
    </row>
    <row r="672" spans="1:21" x14ac:dyDescent="0.3">
      <c r="A672">
        <v>671</v>
      </c>
      <c r="B672" t="s">
        <v>2333</v>
      </c>
      <c r="C672" t="s">
        <v>2334</v>
      </c>
      <c r="D672" t="s">
        <v>15</v>
      </c>
      <c r="E672">
        <v>51</v>
      </c>
      <c r="F672" t="str">
        <f t="shared" si="20"/>
        <v>Senior</v>
      </c>
      <c r="G672" t="s">
        <v>2335</v>
      </c>
      <c r="H672" t="str">
        <f t="shared" si="21"/>
        <v>Aug</v>
      </c>
      <c r="I672" t="s">
        <v>60</v>
      </c>
      <c r="J672" t="s">
        <v>40</v>
      </c>
      <c r="K672" t="s">
        <v>2336</v>
      </c>
      <c r="L672" t="s">
        <v>33</v>
      </c>
      <c r="M672" t="s">
        <v>85</v>
      </c>
      <c r="N672">
        <v>1</v>
      </c>
      <c r="O672" t="s">
        <v>22</v>
      </c>
      <c r="P672">
        <v>4084.2</v>
      </c>
      <c r="Q672" t="s">
        <v>51</v>
      </c>
      <c r="R672" t="s">
        <v>51</v>
      </c>
      <c r="S672">
        <v>110001</v>
      </c>
      <c r="T672" t="s">
        <v>25</v>
      </c>
      <c r="U672" t="s">
        <v>44</v>
      </c>
    </row>
    <row r="673" spans="1:21" x14ac:dyDescent="0.3">
      <c r="A673">
        <v>672</v>
      </c>
      <c r="B673" t="s">
        <v>2337</v>
      </c>
      <c r="C673" t="s">
        <v>2338</v>
      </c>
      <c r="D673" t="s">
        <v>15</v>
      </c>
      <c r="E673">
        <v>27</v>
      </c>
      <c r="F673" t="str">
        <f t="shared" si="20"/>
        <v>Teenager</v>
      </c>
      <c r="G673" t="s">
        <v>1535</v>
      </c>
      <c r="H673" t="str">
        <f t="shared" si="21"/>
        <v>Aug</v>
      </c>
      <c r="I673" t="s">
        <v>60</v>
      </c>
      <c r="J673" t="s">
        <v>40</v>
      </c>
      <c r="K673" t="s">
        <v>2339</v>
      </c>
      <c r="L673" t="s">
        <v>56</v>
      </c>
      <c r="M673" t="s">
        <v>85</v>
      </c>
      <c r="N673">
        <v>2</v>
      </c>
      <c r="O673" t="s">
        <v>22</v>
      </c>
      <c r="P673">
        <v>2653.78</v>
      </c>
      <c r="Q673" t="s">
        <v>51</v>
      </c>
      <c r="R673" t="s">
        <v>51</v>
      </c>
      <c r="S673">
        <v>110001</v>
      </c>
      <c r="T673" t="s">
        <v>25</v>
      </c>
      <c r="U673" t="s">
        <v>44</v>
      </c>
    </row>
    <row r="674" spans="1:21" x14ac:dyDescent="0.3">
      <c r="A674">
        <v>673</v>
      </c>
      <c r="B674" t="s">
        <v>2340</v>
      </c>
      <c r="C674" t="s">
        <v>2341</v>
      </c>
      <c r="D674" t="s">
        <v>15</v>
      </c>
      <c r="E674">
        <v>36</v>
      </c>
      <c r="F674" t="str">
        <f t="shared" si="20"/>
        <v>Adult</v>
      </c>
      <c r="G674" t="s">
        <v>2342</v>
      </c>
      <c r="H674" t="str">
        <f t="shared" si="21"/>
        <v>Apr</v>
      </c>
      <c r="I674" t="s">
        <v>60</v>
      </c>
      <c r="J674" t="s">
        <v>40</v>
      </c>
      <c r="K674" t="s">
        <v>2343</v>
      </c>
      <c r="L674" t="s">
        <v>33</v>
      </c>
      <c r="M674" t="s">
        <v>50</v>
      </c>
      <c r="N674">
        <v>3</v>
      </c>
      <c r="O674" t="s">
        <v>22</v>
      </c>
      <c r="P674">
        <v>3367.17</v>
      </c>
      <c r="Q674" t="s">
        <v>35</v>
      </c>
      <c r="R674" t="s">
        <v>36</v>
      </c>
      <c r="S674">
        <v>560001</v>
      </c>
      <c r="T674" t="s">
        <v>25</v>
      </c>
      <c r="U674" t="s">
        <v>26</v>
      </c>
    </row>
    <row r="675" spans="1:21" x14ac:dyDescent="0.3">
      <c r="A675">
        <v>674</v>
      </c>
      <c r="B675" t="s">
        <v>2344</v>
      </c>
      <c r="C675" t="s">
        <v>2345</v>
      </c>
      <c r="D675" t="s">
        <v>29</v>
      </c>
      <c r="E675">
        <v>24</v>
      </c>
      <c r="F675" t="str">
        <f t="shared" si="20"/>
        <v>Teenager</v>
      </c>
      <c r="G675" t="s">
        <v>69</v>
      </c>
      <c r="H675" t="str">
        <f t="shared" si="21"/>
        <v>Mar</v>
      </c>
      <c r="I675" t="s">
        <v>60</v>
      </c>
      <c r="J675" t="s">
        <v>40</v>
      </c>
      <c r="K675" t="s">
        <v>2346</v>
      </c>
      <c r="L675" t="s">
        <v>73</v>
      </c>
      <c r="M675" t="s">
        <v>50</v>
      </c>
      <c r="N675">
        <v>4</v>
      </c>
      <c r="O675" t="s">
        <v>22</v>
      </c>
      <c r="P675">
        <v>3036.18</v>
      </c>
      <c r="Q675" t="s">
        <v>23</v>
      </c>
      <c r="R675" t="s">
        <v>24</v>
      </c>
      <c r="S675">
        <v>400001</v>
      </c>
      <c r="T675" t="s">
        <v>25</v>
      </c>
      <c r="U675" t="s">
        <v>44</v>
      </c>
    </row>
    <row r="676" spans="1:21" x14ac:dyDescent="0.3">
      <c r="A676">
        <v>675</v>
      </c>
      <c r="B676" t="s">
        <v>2347</v>
      </c>
      <c r="C676" t="s">
        <v>2348</v>
      </c>
      <c r="D676" t="s">
        <v>29</v>
      </c>
      <c r="E676">
        <v>55</v>
      </c>
      <c r="F676" t="str">
        <f t="shared" si="20"/>
        <v>Senior</v>
      </c>
      <c r="G676" t="s">
        <v>954</v>
      </c>
      <c r="H676" t="str">
        <f t="shared" si="21"/>
        <v>Feb</v>
      </c>
      <c r="I676" t="s">
        <v>60</v>
      </c>
      <c r="J676" t="s">
        <v>40</v>
      </c>
      <c r="K676" t="s">
        <v>2349</v>
      </c>
      <c r="L676" t="s">
        <v>20</v>
      </c>
      <c r="M676" t="s">
        <v>85</v>
      </c>
      <c r="N676">
        <v>3</v>
      </c>
      <c r="O676" t="s">
        <v>22</v>
      </c>
      <c r="P676">
        <v>2086.02</v>
      </c>
      <c r="Q676" t="s">
        <v>23</v>
      </c>
      <c r="R676" t="s">
        <v>24</v>
      </c>
      <c r="S676">
        <v>400001</v>
      </c>
      <c r="T676" t="s">
        <v>25</v>
      </c>
      <c r="U676" t="s">
        <v>26</v>
      </c>
    </row>
    <row r="677" spans="1:21" x14ac:dyDescent="0.3">
      <c r="A677">
        <v>676</v>
      </c>
      <c r="B677" t="s">
        <v>2350</v>
      </c>
      <c r="C677" t="s">
        <v>2351</v>
      </c>
      <c r="D677" t="s">
        <v>29</v>
      </c>
      <c r="E677">
        <v>60</v>
      </c>
      <c r="F677" t="str">
        <f t="shared" si="20"/>
        <v>Senior</v>
      </c>
      <c r="G677" t="s">
        <v>718</v>
      </c>
      <c r="H677" t="str">
        <f t="shared" si="21"/>
        <v>Jul</v>
      </c>
      <c r="I677" t="s">
        <v>60</v>
      </c>
      <c r="J677" t="s">
        <v>40</v>
      </c>
      <c r="K677" t="s">
        <v>2352</v>
      </c>
      <c r="L677" t="s">
        <v>107</v>
      </c>
      <c r="M677" t="s">
        <v>50</v>
      </c>
      <c r="N677">
        <v>5</v>
      </c>
      <c r="O677" t="s">
        <v>22</v>
      </c>
      <c r="P677">
        <v>1635.99</v>
      </c>
      <c r="Q677" t="s">
        <v>35</v>
      </c>
      <c r="R677" t="s">
        <v>36</v>
      </c>
      <c r="S677">
        <v>560001</v>
      </c>
      <c r="T677" t="s">
        <v>25</v>
      </c>
      <c r="U677" t="s">
        <v>44</v>
      </c>
    </row>
    <row r="678" spans="1:21" x14ac:dyDescent="0.3">
      <c r="A678">
        <v>677</v>
      </c>
      <c r="B678" t="s">
        <v>2353</v>
      </c>
      <c r="C678" t="s">
        <v>2354</v>
      </c>
      <c r="D678" t="s">
        <v>15</v>
      </c>
      <c r="E678">
        <v>23</v>
      </c>
      <c r="F678" t="str">
        <f t="shared" si="20"/>
        <v>Teenager</v>
      </c>
      <c r="G678" t="s">
        <v>167</v>
      </c>
      <c r="H678" t="str">
        <f t="shared" si="21"/>
        <v>Jan</v>
      </c>
      <c r="I678" t="s">
        <v>60</v>
      </c>
      <c r="J678" t="s">
        <v>40</v>
      </c>
      <c r="K678" t="s">
        <v>2355</v>
      </c>
      <c r="L678" t="s">
        <v>73</v>
      </c>
      <c r="M678" t="s">
        <v>21</v>
      </c>
      <c r="N678">
        <v>2</v>
      </c>
      <c r="O678" t="s">
        <v>22</v>
      </c>
      <c r="P678">
        <v>3732.83</v>
      </c>
      <c r="Q678" t="s">
        <v>23</v>
      </c>
      <c r="R678" t="s">
        <v>24</v>
      </c>
      <c r="S678">
        <v>400001</v>
      </c>
      <c r="T678" t="s">
        <v>25</v>
      </c>
      <c r="U678" t="s">
        <v>44</v>
      </c>
    </row>
    <row r="679" spans="1:21" x14ac:dyDescent="0.3">
      <c r="A679">
        <v>678</v>
      </c>
      <c r="B679" t="s">
        <v>2356</v>
      </c>
      <c r="C679" t="s">
        <v>2357</v>
      </c>
      <c r="D679" t="s">
        <v>15</v>
      </c>
      <c r="E679">
        <v>53</v>
      </c>
      <c r="F679" t="str">
        <f t="shared" si="20"/>
        <v>Senior</v>
      </c>
      <c r="G679" t="s">
        <v>684</v>
      </c>
      <c r="H679" t="str">
        <f t="shared" si="21"/>
        <v>Oct</v>
      </c>
      <c r="I679" t="s">
        <v>60</v>
      </c>
      <c r="J679" t="s">
        <v>40</v>
      </c>
      <c r="K679" t="s">
        <v>2358</v>
      </c>
      <c r="L679" t="s">
        <v>33</v>
      </c>
      <c r="M679" t="s">
        <v>34</v>
      </c>
      <c r="N679">
        <v>5</v>
      </c>
      <c r="O679" t="s">
        <v>22</v>
      </c>
      <c r="P679">
        <v>4203.1400000000003</v>
      </c>
      <c r="Q679" t="s">
        <v>35</v>
      </c>
      <c r="R679" t="s">
        <v>36</v>
      </c>
      <c r="S679">
        <v>560001</v>
      </c>
      <c r="T679" t="s">
        <v>25</v>
      </c>
      <c r="U679" t="s">
        <v>26</v>
      </c>
    </row>
    <row r="680" spans="1:21" x14ac:dyDescent="0.3">
      <c r="A680">
        <v>679</v>
      </c>
      <c r="B680" t="s">
        <v>2359</v>
      </c>
      <c r="C680" t="s">
        <v>2142</v>
      </c>
      <c r="D680" t="s">
        <v>29</v>
      </c>
      <c r="E680">
        <v>23</v>
      </c>
      <c r="F680" t="str">
        <f t="shared" si="20"/>
        <v>Teenager</v>
      </c>
      <c r="G680" t="s">
        <v>2360</v>
      </c>
      <c r="H680" t="str">
        <f t="shared" si="21"/>
        <v>Aug</v>
      </c>
      <c r="I680" t="s">
        <v>60</v>
      </c>
      <c r="J680" t="s">
        <v>40</v>
      </c>
      <c r="K680" t="s">
        <v>2361</v>
      </c>
      <c r="L680" t="s">
        <v>33</v>
      </c>
      <c r="M680" t="s">
        <v>34</v>
      </c>
      <c r="N680">
        <v>2</v>
      </c>
      <c r="O680" t="s">
        <v>22</v>
      </c>
      <c r="P680">
        <v>2456.84</v>
      </c>
      <c r="Q680" t="s">
        <v>51</v>
      </c>
      <c r="R680" t="s">
        <v>51</v>
      </c>
      <c r="S680">
        <v>110001</v>
      </c>
      <c r="T680" t="s">
        <v>25</v>
      </c>
      <c r="U680" t="s">
        <v>44</v>
      </c>
    </row>
    <row r="681" spans="1:21" x14ac:dyDescent="0.3">
      <c r="A681">
        <v>680</v>
      </c>
      <c r="B681" t="s">
        <v>2362</v>
      </c>
      <c r="C681" t="s">
        <v>2363</v>
      </c>
      <c r="D681" t="s">
        <v>15</v>
      </c>
      <c r="E681">
        <v>56</v>
      </c>
      <c r="F681" t="str">
        <f t="shared" si="20"/>
        <v>Senior</v>
      </c>
      <c r="G681" t="s">
        <v>1060</v>
      </c>
      <c r="H681" t="str">
        <f t="shared" si="21"/>
        <v>Jan</v>
      </c>
      <c r="I681" t="s">
        <v>60</v>
      </c>
      <c r="J681" t="s">
        <v>40</v>
      </c>
      <c r="K681" t="s">
        <v>2364</v>
      </c>
      <c r="L681" t="s">
        <v>107</v>
      </c>
      <c r="M681" t="s">
        <v>34</v>
      </c>
      <c r="N681">
        <v>5</v>
      </c>
      <c r="O681" t="s">
        <v>22</v>
      </c>
      <c r="P681">
        <v>4481.32</v>
      </c>
      <c r="Q681" t="s">
        <v>23</v>
      </c>
      <c r="R681" t="s">
        <v>24</v>
      </c>
      <c r="S681">
        <v>400001</v>
      </c>
      <c r="T681" t="s">
        <v>25</v>
      </c>
      <c r="U681" t="s">
        <v>44</v>
      </c>
    </row>
    <row r="682" spans="1:21" x14ac:dyDescent="0.3">
      <c r="A682">
        <v>681</v>
      </c>
      <c r="B682" t="s">
        <v>2365</v>
      </c>
      <c r="C682" t="s">
        <v>1347</v>
      </c>
      <c r="D682" t="s">
        <v>15</v>
      </c>
      <c r="E682">
        <v>35</v>
      </c>
      <c r="F682" t="str">
        <f t="shared" si="20"/>
        <v>Adult</v>
      </c>
      <c r="G682" t="s">
        <v>2366</v>
      </c>
      <c r="H682" t="str">
        <f t="shared" si="21"/>
        <v>Aug</v>
      </c>
      <c r="I682" t="s">
        <v>60</v>
      </c>
      <c r="J682" t="s">
        <v>40</v>
      </c>
      <c r="K682" t="s">
        <v>2367</v>
      </c>
      <c r="L682" t="s">
        <v>33</v>
      </c>
      <c r="M682" t="s">
        <v>21</v>
      </c>
      <c r="N682">
        <v>3</v>
      </c>
      <c r="O682" t="s">
        <v>22</v>
      </c>
      <c r="P682">
        <v>3840.07</v>
      </c>
      <c r="Q682" t="s">
        <v>42</v>
      </c>
      <c r="R682" t="s">
        <v>43</v>
      </c>
      <c r="S682">
        <v>302001</v>
      </c>
      <c r="T682" t="s">
        <v>25</v>
      </c>
      <c r="U682" t="s">
        <v>44</v>
      </c>
    </row>
    <row r="683" spans="1:21" x14ac:dyDescent="0.3">
      <c r="A683">
        <v>682</v>
      </c>
      <c r="B683" t="s">
        <v>2368</v>
      </c>
      <c r="C683" t="s">
        <v>2369</v>
      </c>
      <c r="D683" t="s">
        <v>29</v>
      </c>
      <c r="E683">
        <v>29</v>
      </c>
      <c r="F683" t="str">
        <f t="shared" si="20"/>
        <v>Teenager</v>
      </c>
      <c r="G683" t="s">
        <v>1361</v>
      </c>
      <c r="H683" t="str">
        <f t="shared" si="21"/>
        <v>Aug</v>
      </c>
      <c r="I683" t="s">
        <v>60</v>
      </c>
      <c r="J683" t="s">
        <v>40</v>
      </c>
      <c r="K683" t="s">
        <v>2370</v>
      </c>
      <c r="L683" t="s">
        <v>20</v>
      </c>
      <c r="M683" t="s">
        <v>85</v>
      </c>
      <c r="N683">
        <v>3</v>
      </c>
      <c r="O683" t="s">
        <v>22</v>
      </c>
      <c r="P683">
        <v>2167.64</v>
      </c>
      <c r="Q683" t="s">
        <v>51</v>
      </c>
      <c r="R683" t="s">
        <v>51</v>
      </c>
      <c r="S683">
        <v>110001</v>
      </c>
      <c r="T683" t="s">
        <v>25</v>
      </c>
      <c r="U683" t="s">
        <v>26</v>
      </c>
    </row>
    <row r="684" spans="1:21" x14ac:dyDescent="0.3">
      <c r="A684">
        <v>683</v>
      </c>
      <c r="B684" t="s">
        <v>2371</v>
      </c>
      <c r="C684" t="s">
        <v>2372</v>
      </c>
      <c r="D684" t="s">
        <v>15</v>
      </c>
      <c r="E684">
        <v>52</v>
      </c>
      <c r="F684" t="str">
        <f t="shared" si="20"/>
        <v>Senior</v>
      </c>
      <c r="G684" t="s">
        <v>692</v>
      </c>
      <c r="H684" t="str">
        <f t="shared" si="21"/>
        <v>Dec</v>
      </c>
      <c r="I684" t="s">
        <v>60</v>
      </c>
      <c r="J684" t="s">
        <v>40</v>
      </c>
      <c r="K684" t="s">
        <v>2373</v>
      </c>
      <c r="L684" t="s">
        <v>73</v>
      </c>
      <c r="M684" t="s">
        <v>21</v>
      </c>
      <c r="N684">
        <v>3</v>
      </c>
      <c r="O684" t="s">
        <v>22</v>
      </c>
      <c r="P684">
        <v>4461.66</v>
      </c>
      <c r="Q684" t="s">
        <v>74</v>
      </c>
      <c r="R684" t="s">
        <v>75</v>
      </c>
      <c r="S684">
        <v>226001</v>
      </c>
      <c r="T684" t="s">
        <v>25</v>
      </c>
      <c r="U684" t="s">
        <v>44</v>
      </c>
    </row>
    <row r="685" spans="1:21" x14ac:dyDescent="0.3">
      <c r="A685">
        <v>684</v>
      </c>
      <c r="B685" t="s">
        <v>2374</v>
      </c>
      <c r="C685" t="s">
        <v>2375</v>
      </c>
      <c r="D685" t="s">
        <v>29</v>
      </c>
      <c r="E685">
        <v>57</v>
      </c>
      <c r="F685" t="str">
        <f t="shared" si="20"/>
        <v>Senior</v>
      </c>
      <c r="G685" t="s">
        <v>477</v>
      </c>
      <c r="H685" t="str">
        <f t="shared" si="21"/>
        <v>Apr</v>
      </c>
      <c r="I685" t="s">
        <v>60</v>
      </c>
      <c r="J685" t="s">
        <v>40</v>
      </c>
      <c r="K685" t="s">
        <v>2376</v>
      </c>
      <c r="L685" t="s">
        <v>107</v>
      </c>
      <c r="M685" t="s">
        <v>34</v>
      </c>
      <c r="N685">
        <v>1</v>
      </c>
      <c r="O685" t="s">
        <v>22</v>
      </c>
      <c r="P685">
        <v>2956.04</v>
      </c>
      <c r="Q685" t="s">
        <v>74</v>
      </c>
      <c r="R685" t="s">
        <v>75</v>
      </c>
      <c r="S685">
        <v>226001</v>
      </c>
      <c r="T685" t="s">
        <v>25</v>
      </c>
      <c r="U685" t="s">
        <v>44</v>
      </c>
    </row>
    <row r="686" spans="1:21" x14ac:dyDescent="0.3">
      <c r="A686">
        <v>685</v>
      </c>
      <c r="B686" t="s">
        <v>2377</v>
      </c>
      <c r="C686" t="s">
        <v>2378</v>
      </c>
      <c r="D686" t="s">
        <v>29</v>
      </c>
      <c r="E686">
        <v>36</v>
      </c>
      <c r="F686" t="str">
        <f t="shared" si="20"/>
        <v>Adult</v>
      </c>
      <c r="G686" t="s">
        <v>2342</v>
      </c>
      <c r="H686" t="str">
        <f t="shared" si="21"/>
        <v>Apr</v>
      </c>
      <c r="I686" t="s">
        <v>60</v>
      </c>
      <c r="J686" t="s">
        <v>40</v>
      </c>
      <c r="K686" t="s">
        <v>2379</v>
      </c>
      <c r="L686" t="s">
        <v>20</v>
      </c>
      <c r="M686" t="s">
        <v>34</v>
      </c>
      <c r="N686">
        <v>5</v>
      </c>
      <c r="O686" t="s">
        <v>22</v>
      </c>
      <c r="P686">
        <v>3607.93</v>
      </c>
      <c r="Q686" t="s">
        <v>74</v>
      </c>
      <c r="R686" t="s">
        <v>75</v>
      </c>
      <c r="S686">
        <v>226001</v>
      </c>
      <c r="T686" t="s">
        <v>25</v>
      </c>
      <c r="U686" t="s">
        <v>26</v>
      </c>
    </row>
    <row r="687" spans="1:21" x14ac:dyDescent="0.3">
      <c r="A687">
        <v>686</v>
      </c>
      <c r="B687" t="s">
        <v>2380</v>
      </c>
      <c r="C687" t="s">
        <v>2381</v>
      </c>
      <c r="D687" t="s">
        <v>15</v>
      </c>
      <c r="E687">
        <v>25</v>
      </c>
      <c r="F687" t="str">
        <f t="shared" si="20"/>
        <v>Teenager</v>
      </c>
      <c r="G687" t="s">
        <v>946</v>
      </c>
      <c r="H687" t="str">
        <f t="shared" si="21"/>
        <v>Dec</v>
      </c>
      <c r="I687" t="s">
        <v>60</v>
      </c>
      <c r="J687" t="s">
        <v>40</v>
      </c>
      <c r="K687" t="s">
        <v>2382</v>
      </c>
      <c r="L687" t="s">
        <v>62</v>
      </c>
      <c r="M687" t="s">
        <v>85</v>
      </c>
      <c r="N687">
        <v>4</v>
      </c>
      <c r="O687" t="s">
        <v>22</v>
      </c>
      <c r="P687">
        <v>1773.88</v>
      </c>
      <c r="Q687" t="s">
        <v>42</v>
      </c>
      <c r="R687" t="s">
        <v>43</v>
      </c>
      <c r="S687">
        <v>302001</v>
      </c>
      <c r="T687" t="s">
        <v>25</v>
      </c>
      <c r="U687" t="s">
        <v>44</v>
      </c>
    </row>
    <row r="688" spans="1:21" x14ac:dyDescent="0.3">
      <c r="A688">
        <v>687</v>
      </c>
      <c r="B688" t="s">
        <v>2383</v>
      </c>
      <c r="C688" t="s">
        <v>2384</v>
      </c>
      <c r="D688" t="s">
        <v>29</v>
      </c>
      <c r="E688">
        <v>51</v>
      </c>
      <c r="F688" t="str">
        <f t="shared" si="20"/>
        <v>Senior</v>
      </c>
      <c r="G688" t="s">
        <v>288</v>
      </c>
      <c r="H688" t="str">
        <f t="shared" si="21"/>
        <v>Apr</v>
      </c>
      <c r="I688" t="s">
        <v>60</v>
      </c>
      <c r="J688" t="s">
        <v>40</v>
      </c>
      <c r="K688" t="s">
        <v>2385</v>
      </c>
      <c r="L688" t="s">
        <v>56</v>
      </c>
      <c r="M688" t="s">
        <v>85</v>
      </c>
      <c r="N688">
        <v>1</v>
      </c>
      <c r="O688" t="s">
        <v>22</v>
      </c>
      <c r="P688">
        <v>2064.66</v>
      </c>
      <c r="Q688" t="s">
        <v>74</v>
      </c>
      <c r="R688" t="s">
        <v>75</v>
      </c>
      <c r="S688">
        <v>226001</v>
      </c>
      <c r="T688" t="s">
        <v>25</v>
      </c>
      <c r="U688" t="s">
        <v>26</v>
      </c>
    </row>
    <row r="689" spans="1:21" x14ac:dyDescent="0.3">
      <c r="A689">
        <v>688</v>
      </c>
      <c r="B689" t="s">
        <v>2386</v>
      </c>
      <c r="C689" t="s">
        <v>2387</v>
      </c>
      <c r="D689" t="s">
        <v>15</v>
      </c>
      <c r="E689">
        <v>38</v>
      </c>
      <c r="F689" t="str">
        <f t="shared" si="20"/>
        <v>Adult</v>
      </c>
      <c r="G689" t="s">
        <v>2045</v>
      </c>
      <c r="H689" t="str">
        <f t="shared" si="21"/>
        <v>Apr</v>
      </c>
      <c r="I689" t="s">
        <v>60</v>
      </c>
      <c r="J689" t="s">
        <v>40</v>
      </c>
      <c r="K689" t="s">
        <v>2388</v>
      </c>
      <c r="L689" t="s">
        <v>56</v>
      </c>
      <c r="M689" t="s">
        <v>21</v>
      </c>
      <c r="N689">
        <v>3</v>
      </c>
      <c r="O689" t="s">
        <v>22</v>
      </c>
      <c r="P689">
        <v>710.48</v>
      </c>
      <c r="Q689" t="s">
        <v>51</v>
      </c>
      <c r="R689" t="s">
        <v>51</v>
      </c>
      <c r="S689">
        <v>110001</v>
      </c>
      <c r="T689" t="s">
        <v>25</v>
      </c>
      <c r="U689" t="s">
        <v>44</v>
      </c>
    </row>
    <row r="690" spans="1:21" x14ac:dyDescent="0.3">
      <c r="A690">
        <v>689</v>
      </c>
      <c r="B690" t="s">
        <v>2389</v>
      </c>
      <c r="C690" t="s">
        <v>2390</v>
      </c>
      <c r="D690" t="s">
        <v>15</v>
      </c>
      <c r="E690">
        <v>33</v>
      </c>
      <c r="F690" t="str">
        <f t="shared" si="20"/>
        <v>Adult</v>
      </c>
      <c r="G690" t="s">
        <v>382</v>
      </c>
      <c r="H690" t="str">
        <f t="shared" si="21"/>
        <v>Aug</v>
      </c>
      <c r="I690" t="s">
        <v>60</v>
      </c>
      <c r="J690" t="s">
        <v>40</v>
      </c>
      <c r="K690" t="s">
        <v>2391</v>
      </c>
      <c r="L690" t="s">
        <v>73</v>
      </c>
      <c r="M690" t="s">
        <v>85</v>
      </c>
      <c r="N690">
        <v>4</v>
      </c>
      <c r="O690" t="s">
        <v>22</v>
      </c>
      <c r="P690">
        <v>2134.15</v>
      </c>
      <c r="Q690" t="s">
        <v>23</v>
      </c>
      <c r="R690" t="s">
        <v>24</v>
      </c>
      <c r="S690">
        <v>400001</v>
      </c>
      <c r="T690" t="s">
        <v>25</v>
      </c>
      <c r="U690" t="s">
        <v>26</v>
      </c>
    </row>
    <row r="691" spans="1:21" x14ac:dyDescent="0.3">
      <c r="A691">
        <v>690</v>
      </c>
      <c r="B691" t="s">
        <v>2392</v>
      </c>
      <c r="C691" t="s">
        <v>1324</v>
      </c>
      <c r="D691" t="s">
        <v>29</v>
      </c>
      <c r="E691">
        <v>41</v>
      </c>
      <c r="F691" t="str">
        <f t="shared" si="20"/>
        <v>Adult</v>
      </c>
      <c r="G691" t="s">
        <v>838</v>
      </c>
      <c r="H691" t="str">
        <f t="shared" si="21"/>
        <v>Apr</v>
      </c>
      <c r="I691" t="s">
        <v>60</v>
      </c>
      <c r="J691" t="s">
        <v>40</v>
      </c>
      <c r="K691" t="s">
        <v>2393</v>
      </c>
      <c r="L691" t="s">
        <v>33</v>
      </c>
      <c r="M691" t="s">
        <v>85</v>
      </c>
      <c r="N691">
        <v>2</v>
      </c>
      <c r="O691" t="s">
        <v>22</v>
      </c>
      <c r="P691">
        <v>3719.68</v>
      </c>
      <c r="Q691" t="s">
        <v>35</v>
      </c>
      <c r="R691" t="s">
        <v>36</v>
      </c>
      <c r="S691">
        <v>560001</v>
      </c>
      <c r="T691" t="s">
        <v>25</v>
      </c>
      <c r="U691" t="s">
        <v>26</v>
      </c>
    </row>
    <row r="692" spans="1:21" x14ac:dyDescent="0.3">
      <c r="A692">
        <v>691</v>
      </c>
      <c r="B692" t="s">
        <v>2394</v>
      </c>
      <c r="C692" t="s">
        <v>2395</v>
      </c>
      <c r="D692" t="s">
        <v>15</v>
      </c>
      <c r="E692">
        <v>21</v>
      </c>
      <c r="F692" t="str">
        <f t="shared" si="20"/>
        <v>Teenager</v>
      </c>
      <c r="G692" t="s">
        <v>1336</v>
      </c>
      <c r="H692" t="str">
        <f t="shared" si="21"/>
        <v>Feb</v>
      </c>
      <c r="I692" t="s">
        <v>60</v>
      </c>
      <c r="J692" t="s">
        <v>40</v>
      </c>
      <c r="K692" t="s">
        <v>2396</v>
      </c>
      <c r="L692" t="s">
        <v>20</v>
      </c>
      <c r="M692" t="s">
        <v>50</v>
      </c>
      <c r="N692">
        <v>5</v>
      </c>
      <c r="O692" t="s">
        <v>22</v>
      </c>
      <c r="P692">
        <v>377.21</v>
      </c>
      <c r="Q692" t="s">
        <v>74</v>
      </c>
      <c r="R692" t="s">
        <v>75</v>
      </c>
      <c r="S692">
        <v>226001</v>
      </c>
      <c r="T692" t="s">
        <v>25</v>
      </c>
      <c r="U692" t="s">
        <v>44</v>
      </c>
    </row>
    <row r="693" spans="1:21" x14ac:dyDescent="0.3">
      <c r="A693">
        <v>692</v>
      </c>
      <c r="B693" t="s">
        <v>2397</v>
      </c>
      <c r="C693" t="s">
        <v>2398</v>
      </c>
      <c r="D693" t="s">
        <v>15</v>
      </c>
      <c r="E693">
        <v>32</v>
      </c>
      <c r="F693" t="str">
        <f t="shared" si="20"/>
        <v>Adult</v>
      </c>
      <c r="G693" t="s">
        <v>453</v>
      </c>
      <c r="H693" t="str">
        <f t="shared" si="21"/>
        <v>Jun</v>
      </c>
      <c r="I693" t="s">
        <v>60</v>
      </c>
      <c r="J693" t="s">
        <v>40</v>
      </c>
      <c r="K693" t="s">
        <v>2399</v>
      </c>
      <c r="L693" t="s">
        <v>62</v>
      </c>
      <c r="M693" t="s">
        <v>21</v>
      </c>
      <c r="N693">
        <v>4</v>
      </c>
      <c r="O693" t="s">
        <v>22</v>
      </c>
      <c r="P693">
        <v>4584.57</v>
      </c>
      <c r="Q693" t="s">
        <v>35</v>
      </c>
      <c r="R693" t="s">
        <v>36</v>
      </c>
      <c r="S693">
        <v>560001</v>
      </c>
      <c r="T693" t="s">
        <v>25</v>
      </c>
      <c r="U693" t="s">
        <v>26</v>
      </c>
    </row>
    <row r="694" spans="1:21" x14ac:dyDescent="0.3">
      <c r="A694">
        <v>693</v>
      </c>
      <c r="B694" t="s">
        <v>2400</v>
      </c>
      <c r="C694" t="s">
        <v>2401</v>
      </c>
      <c r="D694" t="s">
        <v>29</v>
      </c>
      <c r="E694">
        <v>32</v>
      </c>
      <c r="F694" t="str">
        <f t="shared" si="20"/>
        <v>Adult</v>
      </c>
      <c r="G694" t="s">
        <v>1677</v>
      </c>
      <c r="H694" t="str">
        <f t="shared" si="21"/>
        <v>Jul</v>
      </c>
      <c r="I694" t="s">
        <v>60</v>
      </c>
      <c r="J694" t="s">
        <v>40</v>
      </c>
      <c r="K694" t="s">
        <v>2402</v>
      </c>
      <c r="L694" t="s">
        <v>20</v>
      </c>
      <c r="M694" t="s">
        <v>85</v>
      </c>
      <c r="N694">
        <v>1</v>
      </c>
      <c r="O694" t="s">
        <v>22</v>
      </c>
      <c r="P694">
        <v>1299.49</v>
      </c>
      <c r="Q694" t="s">
        <v>74</v>
      </c>
      <c r="R694" t="s">
        <v>75</v>
      </c>
      <c r="S694">
        <v>226001</v>
      </c>
      <c r="T694" t="s">
        <v>25</v>
      </c>
      <c r="U694" t="s">
        <v>44</v>
      </c>
    </row>
    <row r="695" spans="1:21" x14ac:dyDescent="0.3">
      <c r="A695">
        <v>694</v>
      </c>
      <c r="B695" t="s">
        <v>2403</v>
      </c>
      <c r="C695" t="s">
        <v>2404</v>
      </c>
      <c r="D695" t="s">
        <v>29</v>
      </c>
      <c r="E695">
        <v>23</v>
      </c>
      <c r="F695" t="str">
        <f t="shared" si="20"/>
        <v>Teenager</v>
      </c>
      <c r="G695" t="s">
        <v>1028</v>
      </c>
      <c r="H695" t="str">
        <f t="shared" si="21"/>
        <v>Aug</v>
      </c>
      <c r="I695" t="s">
        <v>60</v>
      </c>
      <c r="J695" t="s">
        <v>40</v>
      </c>
      <c r="K695" t="s">
        <v>2405</v>
      </c>
      <c r="L695" t="s">
        <v>33</v>
      </c>
      <c r="M695" t="s">
        <v>50</v>
      </c>
      <c r="N695">
        <v>3</v>
      </c>
      <c r="O695" t="s">
        <v>22</v>
      </c>
      <c r="P695">
        <v>485.26</v>
      </c>
      <c r="Q695" t="s">
        <v>51</v>
      </c>
      <c r="R695" t="s">
        <v>51</v>
      </c>
      <c r="S695">
        <v>110001</v>
      </c>
      <c r="T695" t="s">
        <v>25</v>
      </c>
      <c r="U695" t="s">
        <v>44</v>
      </c>
    </row>
    <row r="696" spans="1:21" x14ac:dyDescent="0.3">
      <c r="A696">
        <v>695</v>
      </c>
      <c r="B696" t="s">
        <v>2406</v>
      </c>
      <c r="C696" t="s">
        <v>2407</v>
      </c>
      <c r="D696" t="s">
        <v>29</v>
      </c>
      <c r="E696">
        <v>53</v>
      </c>
      <c r="F696" t="str">
        <f t="shared" si="20"/>
        <v>Senior</v>
      </c>
      <c r="G696" t="s">
        <v>553</v>
      </c>
      <c r="H696" t="str">
        <f t="shared" si="21"/>
        <v>Nov</v>
      </c>
      <c r="I696" t="s">
        <v>60</v>
      </c>
      <c r="J696" t="s">
        <v>40</v>
      </c>
      <c r="K696" t="s">
        <v>2408</v>
      </c>
      <c r="L696" t="s">
        <v>56</v>
      </c>
      <c r="M696" t="s">
        <v>50</v>
      </c>
      <c r="N696">
        <v>5</v>
      </c>
      <c r="O696" t="s">
        <v>22</v>
      </c>
      <c r="P696">
        <v>1141.53</v>
      </c>
      <c r="Q696" t="s">
        <v>74</v>
      </c>
      <c r="R696" t="s">
        <v>75</v>
      </c>
      <c r="S696">
        <v>226001</v>
      </c>
      <c r="T696" t="s">
        <v>25</v>
      </c>
      <c r="U696" t="s">
        <v>44</v>
      </c>
    </row>
    <row r="697" spans="1:21" x14ac:dyDescent="0.3">
      <c r="A697">
        <v>696</v>
      </c>
      <c r="B697" t="s">
        <v>2409</v>
      </c>
      <c r="C697" t="s">
        <v>2410</v>
      </c>
      <c r="D697" t="s">
        <v>15</v>
      </c>
      <c r="E697">
        <v>36</v>
      </c>
      <c r="F697" t="str">
        <f t="shared" si="20"/>
        <v>Adult</v>
      </c>
      <c r="G697" t="s">
        <v>1340</v>
      </c>
      <c r="H697" t="str">
        <f t="shared" si="21"/>
        <v>Dec</v>
      </c>
      <c r="I697" t="s">
        <v>60</v>
      </c>
      <c r="J697" t="s">
        <v>40</v>
      </c>
      <c r="K697" t="s">
        <v>2411</v>
      </c>
      <c r="L697" t="s">
        <v>33</v>
      </c>
      <c r="M697" t="s">
        <v>34</v>
      </c>
      <c r="N697">
        <v>3</v>
      </c>
      <c r="O697" t="s">
        <v>22</v>
      </c>
      <c r="P697">
        <v>1595.15</v>
      </c>
      <c r="Q697" t="s">
        <v>23</v>
      </c>
      <c r="R697" t="s">
        <v>24</v>
      </c>
      <c r="S697">
        <v>400001</v>
      </c>
      <c r="T697" t="s">
        <v>25</v>
      </c>
      <c r="U697" t="s">
        <v>44</v>
      </c>
    </row>
    <row r="698" spans="1:21" x14ac:dyDescent="0.3">
      <c r="A698">
        <v>697</v>
      </c>
      <c r="B698" t="s">
        <v>2412</v>
      </c>
      <c r="C698" t="s">
        <v>2413</v>
      </c>
      <c r="D698" t="s">
        <v>15</v>
      </c>
      <c r="E698">
        <v>38</v>
      </c>
      <c r="F698" t="str">
        <f t="shared" si="20"/>
        <v>Adult</v>
      </c>
      <c r="G698" t="s">
        <v>2414</v>
      </c>
      <c r="H698" t="str">
        <f t="shared" si="21"/>
        <v>Apr</v>
      </c>
      <c r="I698" t="s">
        <v>60</v>
      </c>
      <c r="J698" t="s">
        <v>40</v>
      </c>
      <c r="K698" t="s">
        <v>2415</v>
      </c>
      <c r="L698" t="s">
        <v>73</v>
      </c>
      <c r="M698" t="s">
        <v>21</v>
      </c>
      <c r="N698">
        <v>4</v>
      </c>
      <c r="O698" t="s">
        <v>22</v>
      </c>
      <c r="P698">
        <v>2954.08</v>
      </c>
      <c r="Q698" t="s">
        <v>23</v>
      </c>
      <c r="R698" t="s">
        <v>24</v>
      </c>
      <c r="S698">
        <v>400001</v>
      </c>
      <c r="T698" t="s">
        <v>25</v>
      </c>
      <c r="U698" t="s">
        <v>26</v>
      </c>
    </row>
    <row r="699" spans="1:21" x14ac:dyDescent="0.3">
      <c r="A699">
        <v>698</v>
      </c>
      <c r="B699" t="s">
        <v>2416</v>
      </c>
      <c r="C699" t="s">
        <v>2417</v>
      </c>
      <c r="D699" t="s">
        <v>29</v>
      </c>
      <c r="E699">
        <v>49</v>
      </c>
      <c r="F699" t="str">
        <f t="shared" si="20"/>
        <v>Adult</v>
      </c>
      <c r="G699" t="s">
        <v>69</v>
      </c>
      <c r="H699" t="str">
        <f t="shared" si="21"/>
        <v>Mar</v>
      </c>
      <c r="I699" t="s">
        <v>60</v>
      </c>
      <c r="J699" t="s">
        <v>40</v>
      </c>
      <c r="K699" t="s">
        <v>2418</v>
      </c>
      <c r="L699" t="s">
        <v>62</v>
      </c>
      <c r="M699" t="s">
        <v>21</v>
      </c>
      <c r="N699">
        <v>3</v>
      </c>
      <c r="O699" t="s">
        <v>22</v>
      </c>
      <c r="P699">
        <v>3851.21</v>
      </c>
      <c r="Q699" t="s">
        <v>35</v>
      </c>
      <c r="R699" t="s">
        <v>36</v>
      </c>
      <c r="S699">
        <v>560001</v>
      </c>
      <c r="T699" t="s">
        <v>25</v>
      </c>
      <c r="U699" t="s">
        <v>26</v>
      </c>
    </row>
    <row r="700" spans="1:21" x14ac:dyDescent="0.3">
      <c r="A700">
        <v>699</v>
      </c>
      <c r="B700" t="s">
        <v>2419</v>
      </c>
      <c r="C700" t="s">
        <v>2420</v>
      </c>
      <c r="D700" t="s">
        <v>29</v>
      </c>
      <c r="E700">
        <v>37</v>
      </c>
      <c r="F700" t="str">
        <f t="shared" si="20"/>
        <v>Adult</v>
      </c>
      <c r="G700" t="s">
        <v>139</v>
      </c>
      <c r="H700" t="str">
        <f t="shared" si="21"/>
        <v>Feb</v>
      </c>
      <c r="I700" t="s">
        <v>60</v>
      </c>
      <c r="J700" t="s">
        <v>40</v>
      </c>
      <c r="K700" t="s">
        <v>2421</v>
      </c>
      <c r="L700" t="s">
        <v>20</v>
      </c>
      <c r="M700" t="s">
        <v>21</v>
      </c>
      <c r="N700">
        <v>4</v>
      </c>
      <c r="O700" t="s">
        <v>22</v>
      </c>
      <c r="P700">
        <v>2974.21</v>
      </c>
      <c r="Q700" t="s">
        <v>23</v>
      </c>
      <c r="R700" t="s">
        <v>24</v>
      </c>
      <c r="S700">
        <v>400001</v>
      </c>
      <c r="T700" t="s">
        <v>25</v>
      </c>
      <c r="U700" t="s">
        <v>26</v>
      </c>
    </row>
    <row r="701" spans="1:21" x14ac:dyDescent="0.3">
      <c r="A701">
        <v>700</v>
      </c>
      <c r="B701" t="s">
        <v>2422</v>
      </c>
      <c r="C701" t="s">
        <v>2423</v>
      </c>
      <c r="D701" t="s">
        <v>15</v>
      </c>
      <c r="E701">
        <v>23</v>
      </c>
      <c r="F701" t="str">
        <f t="shared" si="20"/>
        <v>Teenager</v>
      </c>
      <c r="G701" t="s">
        <v>718</v>
      </c>
      <c r="H701" t="str">
        <f t="shared" si="21"/>
        <v>Jul</v>
      </c>
      <c r="I701" t="s">
        <v>60</v>
      </c>
      <c r="J701" t="s">
        <v>40</v>
      </c>
      <c r="K701" t="s">
        <v>2424</v>
      </c>
      <c r="L701" t="s">
        <v>20</v>
      </c>
      <c r="M701" t="s">
        <v>85</v>
      </c>
      <c r="N701">
        <v>1</v>
      </c>
      <c r="O701" t="s">
        <v>22</v>
      </c>
      <c r="P701">
        <v>3297.7</v>
      </c>
      <c r="Q701" t="s">
        <v>23</v>
      </c>
      <c r="R701" t="s">
        <v>24</v>
      </c>
      <c r="S701">
        <v>400001</v>
      </c>
      <c r="T701" t="s">
        <v>25</v>
      </c>
      <c r="U701" t="s">
        <v>26</v>
      </c>
    </row>
    <row r="702" spans="1:21" x14ac:dyDescent="0.3">
      <c r="A702">
        <v>701</v>
      </c>
      <c r="B702" t="s">
        <v>2425</v>
      </c>
      <c r="C702" t="s">
        <v>2426</v>
      </c>
      <c r="D702" t="s">
        <v>29</v>
      </c>
      <c r="E702">
        <v>36</v>
      </c>
      <c r="F702" t="str">
        <f t="shared" si="20"/>
        <v>Adult</v>
      </c>
      <c r="G702" t="s">
        <v>199</v>
      </c>
      <c r="H702" t="str">
        <f t="shared" si="21"/>
        <v>Mar</v>
      </c>
      <c r="I702" t="s">
        <v>60</v>
      </c>
      <c r="J702" t="s">
        <v>40</v>
      </c>
      <c r="K702" t="s">
        <v>2427</v>
      </c>
      <c r="L702" t="s">
        <v>62</v>
      </c>
      <c r="M702" t="s">
        <v>85</v>
      </c>
      <c r="N702">
        <v>1</v>
      </c>
      <c r="O702" t="s">
        <v>22</v>
      </c>
      <c r="P702">
        <v>2503.96</v>
      </c>
      <c r="Q702" t="s">
        <v>42</v>
      </c>
      <c r="R702" t="s">
        <v>43</v>
      </c>
      <c r="S702">
        <v>302001</v>
      </c>
      <c r="T702" t="s">
        <v>25</v>
      </c>
      <c r="U702" t="s">
        <v>44</v>
      </c>
    </row>
    <row r="703" spans="1:21" x14ac:dyDescent="0.3">
      <c r="A703">
        <v>702</v>
      </c>
      <c r="B703" t="s">
        <v>2428</v>
      </c>
      <c r="C703" t="s">
        <v>2429</v>
      </c>
      <c r="D703" t="s">
        <v>15</v>
      </c>
      <c r="E703">
        <v>44</v>
      </c>
      <c r="F703" t="str">
        <f t="shared" si="20"/>
        <v>Adult</v>
      </c>
      <c r="G703" t="s">
        <v>2159</v>
      </c>
      <c r="H703" t="str">
        <f t="shared" si="21"/>
        <v>Mar</v>
      </c>
      <c r="I703" t="s">
        <v>60</v>
      </c>
      <c r="J703" t="s">
        <v>40</v>
      </c>
      <c r="K703" t="s">
        <v>2430</v>
      </c>
      <c r="L703" t="s">
        <v>62</v>
      </c>
      <c r="M703" t="s">
        <v>50</v>
      </c>
      <c r="N703">
        <v>1</v>
      </c>
      <c r="O703" t="s">
        <v>22</v>
      </c>
      <c r="P703">
        <v>2671.94</v>
      </c>
      <c r="Q703" t="s">
        <v>23</v>
      </c>
      <c r="R703" t="s">
        <v>24</v>
      </c>
      <c r="S703">
        <v>400001</v>
      </c>
      <c r="T703" t="s">
        <v>25</v>
      </c>
      <c r="U703" t="s">
        <v>26</v>
      </c>
    </row>
    <row r="704" spans="1:21" x14ac:dyDescent="0.3">
      <c r="A704">
        <v>703</v>
      </c>
      <c r="B704" t="s">
        <v>2431</v>
      </c>
      <c r="C704" t="s">
        <v>2432</v>
      </c>
      <c r="D704" t="s">
        <v>15</v>
      </c>
      <c r="E704">
        <v>18</v>
      </c>
      <c r="F704" t="str">
        <f t="shared" si="20"/>
        <v>Teenager</v>
      </c>
      <c r="G704" t="s">
        <v>1405</v>
      </c>
      <c r="H704" t="str">
        <f t="shared" si="21"/>
        <v>Oct</v>
      </c>
      <c r="I704" t="s">
        <v>60</v>
      </c>
      <c r="J704" t="s">
        <v>40</v>
      </c>
      <c r="K704" t="s">
        <v>2433</v>
      </c>
      <c r="L704" t="s">
        <v>33</v>
      </c>
      <c r="M704" t="s">
        <v>21</v>
      </c>
      <c r="N704">
        <v>2</v>
      </c>
      <c r="O704" t="s">
        <v>22</v>
      </c>
      <c r="P704">
        <v>2827.97</v>
      </c>
      <c r="Q704" t="s">
        <v>74</v>
      </c>
      <c r="R704" t="s">
        <v>75</v>
      </c>
      <c r="S704">
        <v>226001</v>
      </c>
      <c r="T704" t="s">
        <v>25</v>
      </c>
      <c r="U704" t="s">
        <v>44</v>
      </c>
    </row>
    <row r="705" spans="1:21" x14ac:dyDescent="0.3">
      <c r="A705">
        <v>704</v>
      </c>
      <c r="B705" t="s">
        <v>2434</v>
      </c>
      <c r="C705" t="s">
        <v>1791</v>
      </c>
      <c r="D705" t="s">
        <v>15</v>
      </c>
      <c r="E705">
        <v>58</v>
      </c>
      <c r="F705" t="str">
        <f t="shared" si="20"/>
        <v>Senior</v>
      </c>
      <c r="G705" t="s">
        <v>242</v>
      </c>
      <c r="H705" t="str">
        <f t="shared" si="21"/>
        <v>May</v>
      </c>
      <c r="I705" t="s">
        <v>60</v>
      </c>
      <c r="J705" t="s">
        <v>40</v>
      </c>
      <c r="K705" t="s">
        <v>2435</v>
      </c>
      <c r="L705" t="s">
        <v>62</v>
      </c>
      <c r="M705" t="s">
        <v>85</v>
      </c>
      <c r="N705">
        <v>4</v>
      </c>
      <c r="O705" t="s">
        <v>22</v>
      </c>
      <c r="P705">
        <v>2656.5</v>
      </c>
      <c r="Q705" t="s">
        <v>35</v>
      </c>
      <c r="R705" t="s">
        <v>36</v>
      </c>
      <c r="S705">
        <v>560001</v>
      </c>
      <c r="T705" t="s">
        <v>25</v>
      </c>
      <c r="U705" t="s">
        <v>44</v>
      </c>
    </row>
    <row r="706" spans="1:21" x14ac:dyDescent="0.3">
      <c r="A706">
        <v>705</v>
      </c>
      <c r="B706" t="s">
        <v>2436</v>
      </c>
      <c r="C706" t="s">
        <v>1003</v>
      </c>
      <c r="D706" t="s">
        <v>15</v>
      </c>
      <c r="E706">
        <v>59</v>
      </c>
      <c r="F706" t="str">
        <f t="shared" si="20"/>
        <v>Senior</v>
      </c>
      <c r="G706" t="s">
        <v>1314</v>
      </c>
      <c r="H706" t="str">
        <f t="shared" si="21"/>
        <v>Sep</v>
      </c>
      <c r="I706" t="s">
        <v>60</v>
      </c>
      <c r="J706" t="s">
        <v>40</v>
      </c>
      <c r="K706" t="s">
        <v>2437</v>
      </c>
      <c r="L706" t="s">
        <v>107</v>
      </c>
      <c r="M706" t="s">
        <v>34</v>
      </c>
      <c r="N706">
        <v>1</v>
      </c>
      <c r="O706" t="s">
        <v>22</v>
      </c>
      <c r="P706">
        <v>4942.3900000000003</v>
      </c>
      <c r="Q706" t="s">
        <v>23</v>
      </c>
      <c r="R706" t="s">
        <v>24</v>
      </c>
      <c r="S706">
        <v>400001</v>
      </c>
      <c r="T706" t="s">
        <v>25</v>
      </c>
      <c r="U706" t="s">
        <v>26</v>
      </c>
    </row>
    <row r="707" spans="1:21" x14ac:dyDescent="0.3">
      <c r="A707">
        <v>706</v>
      </c>
      <c r="B707" t="s">
        <v>2438</v>
      </c>
      <c r="C707" t="s">
        <v>2439</v>
      </c>
      <c r="D707" t="s">
        <v>15</v>
      </c>
      <c r="E707">
        <v>18</v>
      </c>
      <c r="F707" t="str">
        <f t="shared" ref="F707:F770" si="22">IF(E707&gt;=50,"Senior", IF(E707&gt;=30, "Adult","Teenager"))</f>
        <v>Teenager</v>
      </c>
      <c r="G707" t="s">
        <v>878</v>
      </c>
      <c r="H707" t="str">
        <f t="shared" ref="H707:H770" si="23">TEXT(G707,"MMM")</f>
        <v>Feb</v>
      </c>
      <c r="I707" t="s">
        <v>60</v>
      </c>
      <c r="J707" t="s">
        <v>40</v>
      </c>
      <c r="K707" t="s">
        <v>2440</v>
      </c>
      <c r="L707" t="s">
        <v>62</v>
      </c>
      <c r="M707" t="s">
        <v>34</v>
      </c>
      <c r="N707">
        <v>1</v>
      </c>
      <c r="O707" t="s">
        <v>22</v>
      </c>
      <c r="P707">
        <v>3211.77</v>
      </c>
      <c r="Q707" t="s">
        <v>74</v>
      </c>
      <c r="R707" t="s">
        <v>75</v>
      </c>
      <c r="S707">
        <v>226001</v>
      </c>
      <c r="T707" t="s">
        <v>25</v>
      </c>
      <c r="U707" t="s">
        <v>44</v>
      </c>
    </row>
    <row r="708" spans="1:21" x14ac:dyDescent="0.3">
      <c r="A708">
        <v>707</v>
      </c>
      <c r="B708" t="s">
        <v>2441</v>
      </c>
      <c r="C708" t="s">
        <v>2442</v>
      </c>
      <c r="D708" t="s">
        <v>29</v>
      </c>
      <c r="E708">
        <v>49</v>
      </c>
      <c r="F708" t="str">
        <f t="shared" si="22"/>
        <v>Adult</v>
      </c>
      <c r="G708" t="s">
        <v>670</v>
      </c>
      <c r="H708" t="str">
        <f t="shared" si="23"/>
        <v>Mar</v>
      </c>
      <c r="I708" t="s">
        <v>60</v>
      </c>
      <c r="J708" t="s">
        <v>40</v>
      </c>
      <c r="K708" t="s">
        <v>2443</v>
      </c>
      <c r="L708" t="s">
        <v>73</v>
      </c>
      <c r="M708" t="s">
        <v>34</v>
      </c>
      <c r="N708">
        <v>5</v>
      </c>
      <c r="O708" t="s">
        <v>22</v>
      </c>
      <c r="P708">
        <v>2374.0700000000002</v>
      </c>
      <c r="Q708" t="s">
        <v>51</v>
      </c>
      <c r="R708" t="s">
        <v>51</v>
      </c>
      <c r="S708">
        <v>110001</v>
      </c>
      <c r="T708" t="s">
        <v>25</v>
      </c>
      <c r="U708" t="s">
        <v>26</v>
      </c>
    </row>
    <row r="709" spans="1:21" x14ac:dyDescent="0.3">
      <c r="A709">
        <v>708</v>
      </c>
      <c r="B709" t="s">
        <v>2444</v>
      </c>
      <c r="C709" t="s">
        <v>2445</v>
      </c>
      <c r="D709" t="s">
        <v>15</v>
      </c>
      <c r="E709">
        <v>23</v>
      </c>
      <c r="F709" t="str">
        <f t="shared" si="22"/>
        <v>Teenager</v>
      </c>
      <c r="G709" t="s">
        <v>434</v>
      </c>
      <c r="H709" t="str">
        <f t="shared" si="23"/>
        <v>Apr</v>
      </c>
      <c r="I709" t="s">
        <v>60</v>
      </c>
      <c r="J709" t="s">
        <v>40</v>
      </c>
      <c r="K709" t="s">
        <v>2446</v>
      </c>
      <c r="L709" t="s">
        <v>62</v>
      </c>
      <c r="M709" t="s">
        <v>85</v>
      </c>
      <c r="N709">
        <v>5</v>
      </c>
      <c r="O709" t="s">
        <v>22</v>
      </c>
      <c r="P709">
        <v>3583.13</v>
      </c>
      <c r="Q709" t="s">
        <v>74</v>
      </c>
      <c r="R709" t="s">
        <v>75</v>
      </c>
      <c r="S709">
        <v>226001</v>
      </c>
      <c r="T709" t="s">
        <v>25</v>
      </c>
      <c r="U709" t="s">
        <v>44</v>
      </c>
    </row>
    <row r="710" spans="1:21" x14ac:dyDescent="0.3">
      <c r="A710">
        <v>709</v>
      </c>
      <c r="B710" t="s">
        <v>2447</v>
      </c>
      <c r="C710" t="s">
        <v>2448</v>
      </c>
      <c r="D710" t="s">
        <v>29</v>
      </c>
      <c r="E710">
        <v>37</v>
      </c>
      <c r="F710" t="str">
        <f t="shared" si="22"/>
        <v>Adult</v>
      </c>
      <c r="G710" t="s">
        <v>404</v>
      </c>
      <c r="H710" t="str">
        <f t="shared" si="23"/>
        <v>Feb</v>
      </c>
      <c r="I710" t="s">
        <v>60</v>
      </c>
      <c r="J710" t="s">
        <v>40</v>
      </c>
      <c r="K710" t="s">
        <v>2449</v>
      </c>
      <c r="L710" t="s">
        <v>62</v>
      </c>
      <c r="M710" t="s">
        <v>85</v>
      </c>
      <c r="N710">
        <v>1</v>
      </c>
      <c r="O710" t="s">
        <v>22</v>
      </c>
      <c r="P710">
        <v>3910.69</v>
      </c>
      <c r="Q710" t="s">
        <v>42</v>
      </c>
      <c r="R710" t="s">
        <v>43</v>
      </c>
      <c r="S710">
        <v>302001</v>
      </c>
      <c r="T710" t="s">
        <v>25</v>
      </c>
      <c r="U710" t="s">
        <v>26</v>
      </c>
    </row>
    <row r="711" spans="1:21" x14ac:dyDescent="0.3">
      <c r="A711">
        <v>710</v>
      </c>
      <c r="B711" t="s">
        <v>2450</v>
      </c>
      <c r="C711" t="s">
        <v>2451</v>
      </c>
      <c r="D711" t="s">
        <v>29</v>
      </c>
      <c r="E711">
        <v>55</v>
      </c>
      <c r="F711" t="str">
        <f t="shared" si="22"/>
        <v>Senior</v>
      </c>
      <c r="G711" t="s">
        <v>692</v>
      </c>
      <c r="H711" t="str">
        <f t="shared" si="23"/>
        <v>Dec</v>
      </c>
      <c r="I711" t="s">
        <v>60</v>
      </c>
      <c r="J711" t="s">
        <v>40</v>
      </c>
      <c r="K711" t="s">
        <v>2452</v>
      </c>
      <c r="L711" t="s">
        <v>56</v>
      </c>
      <c r="M711" t="s">
        <v>34</v>
      </c>
      <c r="N711">
        <v>4</v>
      </c>
      <c r="O711" t="s">
        <v>22</v>
      </c>
      <c r="P711">
        <v>2389.23</v>
      </c>
      <c r="Q711" t="s">
        <v>74</v>
      </c>
      <c r="R711" t="s">
        <v>75</v>
      </c>
      <c r="S711">
        <v>226001</v>
      </c>
      <c r="T711" t="s">
        <v>25</v>
      </c>
      <c r="U711" t="s">
        <v>26</v>
      </c>
    </row>
    <row r="712" spans="1:21" x14ac:dyDescent="0.3">
      <c r="A712">
        <v>711</v>
      </c>
      <c r="B712" t="s">
        <v>2453</v>
      </c>
      <c r="C712" t="s">
        <v>2454</v>
      </c>
      <c r="D712" t="s">
        <v>29</v>
      </c>
      <c r="E712">
        <v>21</v>
      </c>
      <c r="F712" t="str">
        <f t="shared" si="22"/>
        <v>Teenager</v>
      </c>
      <c r="G712" t="s">
        <v>404</v>
      </c>
      <c r="H712" t="str">
        <f t="shared" si="23"/>
        <v>Feb</v>
      </c>
      <c r="I712" t="s">
        <v>60</v>
      </c>
      <c r="J712" t="s">
        <v>40</v>
      </c>
      <c r="K712" t="s">
        <v>2455</v>
      </c>
      <c r="L712" t="s">
        <v>56</v>
      </c>
      <c r="M712" t="s">
        <v>85</v>
      </c>
      <c r="N712">
        <v>1</v>
      </c>
      <c r="O712" t="s">
        <v>22</v>
      </c>
      <c r="P712">
        <v>3228.49</v>
      </c>
      <c r="Q712" t="s">
        <v>42</v>
      </c>
      <c r="R712" t="s">
        <v>43</v>
      </c>
      <c r="S712">
        <v>302001</v>
      </c>
      <c r="T712" t="s">
        <v>25</v>
      </c>
      <c r="U712" t="s">
        <v>26</v>
      </c>
    </row>
    <row r="713" spans="1:21" x14ac:dyDescent="0.3">
      <c r="A713">
        <v>712</v>
      </c>
      <c r="B713" t="s">
        <v>2456</v>
      </c>
      <c r="C713" t="s">
        <v>2457</v>
      </c>
      <c r="D713" t="s">
        <v>15</v>
      </c>
      <c r="E713">
        <v>34</v>
      </c>
      <c r="F713" t="str">
        <f t="shared" si="22"/>
        <v>Adult</v>
      </c>
      <c r="G713" t="s">
        <v>114</v>
      </c>
      <c r="H713" t="str">
        <f t="shared" si="23"/>
        <v>Mar</v>
      </c>
      <c r="I713" t="s">
        <v>60</v>
      </c>
      <c r="J713" t="s">
        <v>40</v>
      </c>
      <c r="K713" t="s">
        <v>2458</v>
      </c>
      <c r="L713" t="s">
        <v>73</v>
      </c>
      <c r="M713" t="s">
        <v>50</v>
      </c>
      <c r="N713">
        <v>2</v>
      </c>
      <c r="O713" t="s">
        <v>22</v>
      </c>
      <c r="P713">
        <v>3145.7</v>
      </c>
      <c r="Q713" t="s">
        <v>35</v>
      </c>
      <c r="R713" t="s">
        <v>36</v>
      </c>
      <c r="S713">
        <v>560001</v>
      </c>
      <c r="T713" t="s">
        <v>25</v>
      </c>
      <c r="U713" t="s">
        <v>26</v>
      </c>
    </row>
    <row r="714" spans="1:21" x14ac:dyDescent="0.3">
      <c r="A714">
        <v>713</v>
      </c>
      <c r="B714" t="s">
        <v>2459</v>
      </c>
      <c r="C714" t="s">
        <v>2460</v>
      </c>
      <c r="D714" t="s">
        <v>29</v>
      </c>
      <c r="E714">
        <v>28</v>
      </c>
      <c r="F714" t="str">
        <f t="shared" si="22"/>
        <v>Teenager</v>
      </c>
      <c r="G714" t="s">
        <v>2461</v>
      </c>
      <c r="H714" t="str">
        <f t="shared" si="23"/>
        <v>Oct</v>
      </c>
      <c r="I714" t="s">
        <v>60</v>
      </c>
      <c r="J714" t="s">
        <v>40</v>
      </c>
      <c r="K714" t="s">
        <v>2462</v>
      </c>
      <c r="L714" t="s">
        <v>20</v>
      </c>
      <c r="M714" t="s">
        <v>21</v>
      </c>
      <c r="N714">
        <v>1</v>
      </c>
      <c r="O714" t="s">
        <v>22</v>
      </c>
      <c r="P714">
        <v>1156.69</v>
      </c>
      <c r="Q714" t="s">
        <v>51</v>
      </c>
      <c r="R714" t="s">
        <v>51</v>
      </c>
      <c r="S714">
        <v>110001</v>
      </c>
      <c r="T714" t="s">
        <v>25</v>
      </c>
      <c r="U714" t="s">
        <v>26</v>
      </c>
    </row>
    <row r="715" spans="1:21" x14ac:dyDescent="0.3">
      <c r="A715">
        <v>714</v>
      </c>
      <c r="B715" t="s">
        <v>2463</v>
      </c>
      <c r="C715" t="s">
        <v>1778</v>
      </c>
      <c r="D715" t="s">
        <v>15</v>
      </c>
      <c r="E715">
        <v>56</v>
      </c>
      <c r="F715" t="str">
        <f t="shared" si="22"/>
        <v>Senior</v>
      </c>
      <c r="G715" t="s">
        <v>958</v>
      </c>
      <c r="H715" t="str">
        <f t="shared" si="23"/>
        <v>Sep</v>
      </c>
      <c r="I715" t="s">
        <v>60</v>
      </c>
      <c r="J715" t="s">
        <v>40</v>
      </c>
      <c r="K715" t="s">
        <v>2464</v>
      </c>
      <c r="L715" t="s">
        <v>20</v>
      </c>
      <c r="M715" t="s">
        <v>21</v>
      </c>
      <c r="N715">
        <v>3</v>
      </c>
      <c r="O715" t="s">
        <v>22</v>
      </c>
      <c r="P715">
        <v>4856.7299999999996</v>
      </c>
      <c r="Q715" t="s">
        <v>74</v>
      </c>
      <c r="R715" t="s">
        <v>75</v>
      </c>
      <c r="S715">
        <v>226001</v>
      </c>
      <c r="T715" t="s">
        <v>25</v>
      </c>
      <c r="U715" t="s">
        <v>44</v>
      </c>
    </row>
    <row r="716" spans="1:21" x14ac:dyDescent="0.3">
      <c r="A716">
        <v>715</v>
      </c>
      <c r="B716" t="s">
        <v>2465</v>
      </c>
      <c r="C716" t="s">
        <v>2466</v>
      </c>
      <c r="D716" t="s">
        <v>29</v>
      </c>
      <c r="E716">
        <v>23</v>
      </c>
      <c r="F716" t="str">
        <f t="shared" si="22"/>
        <v>Teenager</v>
      </c>
      <c r="G716" t="s">
        <v>128</v>
      </c>
      <c r="H716" t="str">
        <f t="shared" si="23"/>
        <v>May</v>
      </c>
      <c r="I716" t="s">
        <v>60</v>
      </c>
      <c r="J716" t="s">
        <v>40</v>
      </c>
      <c r="K716" t="s">
        <v>2467</v>
      </c>
      <c r="L716" t="s">
        <v>73</v>
      </c>
      <c r="M716" t="s">
        <v>34</v>
      </c>
      <c r="N716">
        <v>4</v>
      </c>
      <c r="O716" t="s">
        <v>22</v>
      </c>
      <c r="P716">
        <v>1091.55</v>
      </c>
      <c r="Q716" t="s">
        <v>42</v>
      </c>
      <c r="R716" t="s">
        <v>43</v>
      </c>
      <c r="S716">
        <v>302001</v>
      </c>
      <c r="T716" t="s">
        <v>25</v>
      </c>
      <c r="U716" t="s">
        <v>44</v>
      </c>
    </row>
    <row r="717" spans="1:21" x14ac:dyDescent="0.3">
      <c r="A717">
        <v>716</v>
      </c>
      <c r="B717" t="s">
        <v>2468</v>
      </c>
      <c r="C717" t="s">
        <v>2469</v>
      </c>
      <c r="D717" t="s">
        <v>15</v>
      </c>
      <c r="E717">
        <v>54</v>
      </c>
      <c r="F717" t="str">
        <f t="shared" si="22"/>
        <v>Senior</v>
      </c>
      <c r="G717" t="s">
        <v>2470</v>
      </c>
      <c r="H717" t="str">
        <f t="shared" si="23"/>
        <v>Sep</v>
      </c>
      <c r="I717" t="s">
        <v>60</v>
      </c>
      <c r="J717" t="s">
        <v>40</v>
      </c>
      <c r="K717" t="s">
        <v>2471</v>
      </c>
      <c r="L717" t="s">
        <v>107</v>
      </c>
      <c r="M717" t="s">
        <v>85</v>
      </c>
      <c r="N717">
        <v>4</v>
      </c>
      <c r="O717" t="s">
        <v>22</v>
      </c>
      <c r="P717">
        <v>308.18</v>
      </c>
      <c r="Q717" t="s">
        <v>51</v>
      </c>
      <c r="R717" t="s">
        <v>51</v>
      </c>
      <c r="S717">
        <v>110001</v>
      </c>
      <c r="T717" t="s">
        <v>25</v>
      </c>
      <c r="U717" t="s">
        <v>26</v>
      </c>
    </row>
    <row r="718" spans="1:21" x14ac:dyDescent="0.3">
      <c r="A718">
        <v>717</v>
      </c>
      <c r="B718" t="s">
        <v>2472</v>
      </c>
      <c r="C718" t="s">
        <v>2473</v>
      </c>
      <c r="D718" t="s">
        <v>29</v>
      </c>
      <c r="E718">
        <v>47</v>
      </c>
      <c r="F718" t="str">
        <f t="shared" si="22"/>
        <v>Adult</v>
      </c>
      <c r="G718" t="s">
        <v>362</v>
      </c>
      <c r="H718" t="str">
        <f t="shared" si="23"/>
        <v>Dec</v>
      </c>
      <c r="I718" t="s">
        <v>60</v>
      </c>
      <c r="J718" t="s">
        <v>40</v>
      </c>
      <c r="K718" t="s">
        <v>2474</v>
      </c>
      <c r="L718" t="s">
        <v>33</v>
      </c>
      <c r="M718" t="s">
        <v>34</v>
      </c>
      <c r="N718">
        <v>1</v>
      </c>
      <c r="O718" t="s">
        <v>22</v>
      </c>
      <c r="P718">
        <v>2524.67</v>
      </c>
      <c r="Q718" t="s">
        <v>74</v>
      </c>
      <c r="R718" t="s">
        <v>75</v>
      </c>
      <c r="S718">
        <v>226001</v>
      </c>
      <c r="T718" t="s">
        <v>25</v>
      </c>
      <c r="U718" t="s">
        <v>44</v>
      </c>
    </row>
    <row r="719" spans="1:21" x14ac:dyDescent="0.3">
      <c r="A719">
        <v>718</v>
      </c>
      <c r="B719" t="s">
        <v>2475</v>
      </c>
      <c r="C719" t="s">
        <v>2476</v>
      </c>
      <c r="D719" t="s">
        <v>15</v>
      </c>
      <c r="E719">
        <v>27</v>
      </c>
      <c r="F719" t="str">
        <f t="shared" si="22"/>
        <v>Teenager</v>
      </c>
      <c r="G719" t="s">
        <v>1283</v>
      </c>
      <c r="H719" t="str">
        <f t="shared" si="23"/>
        <v>Jan</v>
      </c>
      <c r="I719" t="s">
        <v>60</v>
      </c>
      <c r="J719" t="s">
        <v>40</v>
      </c>
      <c r="K719" t="s">
        <v>2477</v>
      </c>
      <c r="L719" t="s">
        <v>56</v>
      </c>
      <c r="M719" t="s">
        <v>85</v>
      </c>
      <c r="N719">
        <v>3</v>
      </c>
      <c r="O719" t="s">
        <v>22</v>
      </c>
      <c r="P719">
        <v>2717.5</v>
      </c>
      <c r="Q719" t="s">
        <v>51</v>
      </c>
      <c r="R719" t="s">
        <v>51</v>
      </c>
      <c r="S719">
        <v>110001</v>
      </c>
      <c r="T719" t="s">
        <v>25</v>
      </c>
      <c r="U719" t="s">
        <v>44</v>
      </c>
    </row>
    <row r="720" spans="1:21" x14ac:dyDescent="0.3">
      <c r="A720">
        <v>719</v>
      </c>
      <c r="B720" t="s">
        <v>2478</v>
      </c>
      <c r="C720" t="s">
        <v>2479</v>
      </c>
      <c r="D720" t="s">
        <v>15</v>
      </c>
      <c r="E720">
        <v>60</v>
      </c>
      <c r="F720" t="str">
        <f t="shared" si="22"/>
        <v>Senior</v>
      </c>
      <c r="G720" t="s">
        <v>1344</v>
      </c>
      <c r="H720" t="str">
        <f t="shared" si="23"/>
        <v>Feb</v>
      </c>
      <c r="I720" t="s">
        <v>60</v>
      </c>
      <c r="J720" t="s">
        <v>40</v>
      </c>
      <c r="K720" t="s">
        <v>2480</v>
      </c>
      <c r="L720" t="s">
        <v>33</v>
      </c>
      <c r="M720" t="s">
        <v>21</v>
      </c>
      <c r="N720">
        <v>1</v>
      </c>
      <c r="O720" t="s">
        <v>22</v>
      </c>
      <c r="P720">
        <v>1337.78</v>
      </c>
      <c r="Q720" t="s">
        <v>23</v>
      </c>
      <c r="R720" t="s">
        <v>24</v>
      </c>
      <c r="S720">
        <v>400001</v>
      </c>
      <c r="T720" t="s">
        <v>25</v>
      </c>
      <c r="U720" t="s">
        <v>44</v>
      </c>
    </row>
    <row r="721" spans="1:21" x14ac:dyDescent="0.3">
      <c r="A721">
        <v>720</v>
      </c>
      <c r="B721" t="s">
        <v>2481</v>
      </c>
      <c r="C721" t="s">
        <v>2482</v>
      </c>
      <c r="D721" t="s">
        <v>29</v>
      </c>
      <c r="E721">
        <v>30</v>
      </c>
      <c r="F721" t="str">
        <f t="shared" si="22"/>
        <v>Adult</v>
      </c>
      <c r="G721" t="s">
        <v>1303</v>
      </c>
      <c r="H721" t="str">
        <f t="shared" si="23"/>
        <v>Jul</v>
      </c>
      <c r="I721" t="s">
        <v>60</v>
      </c>
      <c r="J721" t="s">
        <v>40</v>
      </c>
      <c r="K721" t="s">
        <v>2483</v>
      </c>
      <c r="L721" t="s">
        <v>56</v>
      </c>
      <c r="M721" t="s">
        <v>50</v>
      </c>
      <c r="N721">
        <v>4</v>
      </c>
      <c r="O721" t="s">
        <v>22</v>
      </c>
      <c r="P721">
        <v>2450.44</v>
      </c>
      <c r="Q721" t="s">
        <v>23</v>
      </c>
      <c r="R721" t="s">
        <v>24</v>
      </c>
      <c r="S721">
        <v>400001</v>
      </c>
      <c r="T721" t="s">
        <v>25</v>
      </c>
      <c r="U721" t="s">
        <v>44</v>
      </c>
    </row>
    <row r="722" spans="1:21" x14ac:dyDescent="0.3">
      <c r="A722">
        <v>721</v>
      </c>
      <c r="B722" t="s">
        <v>2484</v>
      </c>
      <c r="C722" t="s">
        <v>1758</v>
      </c>
      <c r="D722" t="s">
        <v>29</v>
      </c>
      <c r="E722">
        <v>59</v>
      </c>
      <c r="F722" t="str">
        <f t="shared" si="22"/>
        <v>Senior</v>
      </c>
      <c r="G722" t="s">
        <v>666</v>
      </c>
      <c r="H722" t="str">
        <f t="shared" si="23"/>
        <v>Aug</v>
      </c>
      <c r="I722" t="s">
        <v>60</v>
      </c>
      <c r="J722" t="s">
        <v>40</v>
      </c>
      <c r="K722" t="s">
        <v>2485</v>
      </c>
      <c r="L722" t="s">
        <v>56</v>
      </c>
      <c r="M722" t="s">
        <v>50</v>
      </c>
      <c r="N722">
        <v>2</v>
      </c>
      <c r="O722" t="s">
        <v>22</v>
      </c>
      <c r="P722">
        <v>3070.24</v>
      </c>
      <c r="Q722" t="s">
        <v>42</v>
      </c>
      <c r="R722" t="s">
        <v>43</v>
      </c>
      <c r="S722">
        <v>302001</v>
      </c>
      <c r="T722" t="s">
        <v>25</v>
      </c>
      <c r="U722" t="s">
        <v>44</v>
      </c>
    </row>
    <row r="723" spans="1:21" x14ac:dyDescent="0.3">
      <c r="A723">
        <v>722</v>
      </c>
      <c r="B723" t="s">
        <v>2486</v>
      </c>
      <c r="C723" t="s">
        <v>2487</v>
      </c>
      <c r="D723" t="s">
        <v>29</v>
      </c>
      <c r="E723">
        <v>36</v>
      </c>
      <c r="F723" t="str">
        <f t="shared" si="22"/>
        <v>Adult</v>
      </c>
      <c r="G723" t="s">
        <v>1193</v>
      </c>
      <c r="H723" t="str">
        <f t="shared" si="23"/>
        <v>Dec</v>
      </c>
      <c r="I723" t="s">
        <v>60</v>
      </c>
      <c r="J723" t="s">
        <v>40</v>
      </c>
      <c r="K723" t="s">
        <v>2488</v>
      </c>
      <c r="L723" t="s">
        <v>62</v>
      </c>
      <c r="M723" t="s">
        <v>21</v>
      </c>
      <c r="N723">
        <v>5</v>
      </c>
      <c r="O723" t="s">
        <v>22</v>
      </c>
      <c r="P723">
        <v>750.64</v>
      </c>
      <c r="Q723" t="s">
        <v>23</v>
      </c>
      <c r="R723" t="s">
        <v>24</v>
      </c>
      <c r="S723">
        <v>400001</v>
      </c>
      <c r="T723" t="s">
        <v>25</v>
      </c>
      <c r="U723" t="s">
        <v>44</v>
      </c>
    </row>
    <row r="724" spans="1:21" x14ac:dyDescent="0.3">
      <c r="A724">
        <v>723</v>
      </c>
      <c r="B724" t="s">
        <v>2489</v>
      </c>
      <c r="C724" t="s">
        <v>2490</v>
      </c>
      <c r="D724" t="s">
        <v>15</v>
      </c>
      <c r="E724">
        <v>50</v>
      </c>
      <c r="F724" t="str">
        <f t="shared" si="22"/>
        <v>Senior</v>
      </c>
      <c r="G724" t="s">
        <v>580</v>
      </c>
      <c r="H724" t="str">
        <f t="shared" si="23"/>
        <v>May</v>
      </c>
      <c r="I724" t="s">
        <v>60</v>
      </c>
      <c r="J724" t="s">
        <v>40</v>
      </c>
      <c r="K724" t="s">
        <v>2491</v>
      </c>
      <c r="L724" t="s">
        <v>73</v>
      </c>
      <c r="M724" t="s">
        <v>34</v>
      </c>
      <c r="N724">
        <v>2</v>
      </c>
      <c r="O724" t="s">
        <v>22</v>
      </c>
      <c r="P724">
        <v>3848.6</v>
      </c>
      <c r="Q724" t="s">
        <v>23</v>
      </c>
      <c r="R724" t="s">
        <v>24</v>
      </c>
      <c r="S724">
        <v>400001</v>
      </c>
      <c r="T724" t="s">
        <v>25</v>
      </c>
      <c r="U724" t="s">
        <v>26</v>
      </c>
    </row>
    <row r="725" spans="1:21" x14ac:dyDescent="0.3">
      <c r="A725">
        <v>724</v>
      </c>
      <c r="B725" t="s">
        <v>2492</v>
      </c>
      <c r="C725" t="s">
        <v>2493</v>
      </c>
      <c r="D725" t="s">
        <v>15</v>
      </c>
      <c r="E725">
        <v>20</v>
      </c>
      <c r="F725" t="str">
        <f t="shared" si="22"/>
        <v>Teenager</v>
      </c>
      <c r="G725" t="s">
        <v>546</v>
      </c>
      <c r="H725" t="str">
        <f t="shared" si="23"/>
        <v>Sep</v>
      </c>
      <c r="I725" t="s">
        <v>60</v>
      </c>
      <c r="J725" t="s">
        <v>40</v>
      </c>
      <c r="K725" t="s">
        <v>2494</v>
      </c>
      <c r="L725" t="s">
        <v>107</v>
      </c>
      <c r="M725" t="s">
        <v>85</v>
      </c>
      <c r="N725">
        <v>2</v>
      </c>
      <c r="O725" t="s">
        <v>22</v>
      </c>
      <c r="P725">
        <v>3195.31</v>
      </c>
      <c r="Q725" t="s">
        <v>42</v>
      </c>
      <c r="R725" t="s">
        <v>43</v>
      </c>
      <c r="S725">
        <v>302001</v>
      </c>
      <c r="T725" t="s">
        <v>25</v>
      </c>
      <c r="U725" t="s">
        <v>44</v>
      </c>
    </row>
    <row r="726" spans="1:21" x14ac:dyDescent="0.3">
      <c r="A726">
        <v>725</v>
      </c>
      <c r="B726" t="s">
        <v>2495</v>
      </c>
      <c r="C726" t="s">
        <v>2496</v>
      </c>
      <c r="D726" t="s">
        <v>29</v>
      </c>
      <c r="E726">
        <v>37</v>
      </c>
      <c r="F726" t="str">
        <f t="shared" si="22"/>
        <v>Adult</v>
      </c>
      <c r="G726" t="s">
        <v>757</v>
      </c>
      <c r="H726" t="str">
        <f t="shared" si="23"/>
        <v>Dec</v>
      </c>
      <c r="I726" t="s">
        <v>60</v>
      </c>
      <c r="J726" t="s">
        <v>40</v>
      </c>
      <c r="K726" t="s">
        <v>2497</v>
      </c>
      <c r="L726" t="s">
        <v>33</v>
      </c>
      <c r="M726" t="s">
        <v>85</v>
      </c>
      <c r="N726">
        <v>3</v>
      </c>
      <c r="O726" t="s">
        <v>22</v>
      </c>
      <c r="P726">
        <v>1960.13</v>
      </c>
      <c r="Q726" t="s">
        <v>74</v>
      </c>
      <c r="R726" t="s">
        <v>75</v>
      </c>
      <c r="S726">
        <v>226001</v>
      </c>
      <c r="T726" t="s">
        <v>25</v>
      </c>
      <c r="U726" t="s">
        <v>44</v>
      </c>
    </row>
    <row r="727" spans="1:21" x14ac:dyDescent="0.3">
      <c r="A727">
        <v>726</v>
      </c>
      <c r="B727" t="s">
        <v>2498</v>
      </c>
      <c r="C727" t="s">
        <v>2499</v>
      </c>
      <c r="D727" t="s">
        <v>15</v>
      </c>
      <c r="E727">
        <v>29</v>
      </c>
      <c r="F727" t="str">
        <f t="shared" si="22"/>
        <v>Teenager</v>
      </c>
      <c r="G727" t="s">
        <v>2500</v>
      </c>
      <c r="H727" t="str">
        <f t="shared" si="23"/>
        <v>Aug</v>
      </c>
      <c r="I727" t="s">
        <v>60</v>
      </c>
      <c r="J727" t="s">
        <v>40</v>
      </c>
      <c r="K727" t="s">
        <v>2501</v>
      </c>
      <c r="L727" t="s">
        <v>107</v>
      </c>
      <c r="M727" t="s">
        <v>34</v>
      </c>
      <c r="N727">
        <v>3</v>
      </c>
      <c r="O727" t="s">
        <v>22</v>
      </c>
      <c r="P727">
        <v>2709.22</v>
      </c>
      <c r="Q727" t="s">
        <v>35</v>
      </c>
      <c r="R727" t="s">
        <v>36</v>
      </c>
      <c r="S727">
        <v>560001</v>
      </c>
      <c r="T727" t="s">
        <v>25</v>
      </c>
      <c r="U727" t="s">
        <v>26</v>
      </c>
    </row>
    <row r="728" spans="1:21" x14ac:dyDescent="0.3">
      <c r="A728">
        <v>727</v>
      </c>
      <c r="B728" t="s">
        <v>2502</v>
      </c>
      <c r="C728" t="s">
        <v>2503</v>
      </c>
      <c r="D728" t="s">
        <v>29</v>
      </c>
      <c r="E728">
        <v>34</v>
      </c>
      <c r="F728" t="str">
        <f t="shared" si="22"/>
        <v>Adult</v>
      </c>
      <c r="G728" t="s">
        <v>1060</v>
      </c>
      <c r="H728" t="str">
        <f t="shared" si="23"/>
        <v>Jan</v>
      </c>
      <c r="I728" t="s">
        <v>60</v>
      </c>
      <c r="J728" t="s">
        <v>40</v>
      </c>
      <c r="K728" t="s">
        <v>2504</v>
      </c>
      <c r="L728" t="s">
        <v>73</v>
      </c>
      <c r="M728" t="s">
        <v>34</v>
      </c>
      <c r="N728">
        <v>3</v>
      </c>
      <c r="O728" t="s">
        <v>22</v>
      </c>
      <c r="P728">
        <v>1485.79</v>
      </c>
      <c r="Q728" t="s">
        <v>23</v>
      </c>
      <c r="R728" t="s">
        <v>24</v>
      </c>
      <c r="S728">
        <v>400001</v>
      </c>
      <c r="T728" t="s">
        <v>25</v>
      </c>
      <c r="U728" t="s">
        <v>44</v>
      </c>
    </row>
    <row r="729" spans="1:21" x14ac:dyDescent="0.3">
      <c r="A729">
        <v>728</v>
      </c>
      <c r="B729" t="s">
        <v>2505</v>
      </c>
      <c r="C729" t="s">
        <v>2506</v>
      </c>
      <c r="D729" t="s">
        <v>29</v>
      </c>
      <c r="E729">
        <v>18</v>
      </c>
      <c r="F729" t="str">
        <f t="shared" si="22"/>
        <v>Teenager</v>
      </c>
      <c r="G729" t="s">
        <v>1555</v>
      </c>
      <c r="H729" t="str">
        <f t="shared" si="23"/>
        <v>Sep</v>
      </c>
      <c r="I729" t="s">
        <v>60</v>
      </c>
      <c r="J729" t="s">
        <v>40</v>
      </c>
      <c r="K729" t="s">
        <v>2507</v>
      </c>
      <c r="L729" t="s">
        <v>62</v>
      </c>
      <c r="M729" t="s">
        <v>50</v>
      </c>
      <c r="N729">
        <v>2</v>
      </c>
      <c r="O729" t="s">
        <v>22</v>
      </c>
      <c r="P729">
        <v>4423.17</v>
      </c>
      <c r="Q729" t="s">
        <v>23</v>
      </c>
      <c r="R729" t="s">
        <v>24</v>
      </c>
      <c r="S729">
        <v>400001</v>
      </c>
      <c r="T729" t="s">
        <v>25</v>
      </c>
      <c r="U729" t="s">
        <v>44</v>
      </c>
    </row>
    <row r="730" spans="1:21" x14ac:dyDescent="0.3">
      <c r="A730">
        <v>729</v>
      </c>
      <c r="B730" t="s">
        <v>2508</v>
      </c>
      <c r="C730" t="s">
        <v>2509</v>
      </c>
      <c r="D730" t="s">
        <v>15</v>
      </c>
      <c r="E730">
        <v>34</v>
      </c>
      <c r="F730" t="str">
        <f t="shared" si="22"/>
        <v>Adult</v>
      </c>
      <c r="G730" t="s">
        <v>2159</v>
      </c>
      <c r="H730" t="str">
        <f t="shared" si="23"/>
        <v>Mar</v>
      </c>
      <c r="I730" t="s">
        <v>60</v>
      </c>
      <c r="J730" t="s">
        <v>40</v>
      </c>
      <c r="K730" t="s">
        <v>2510</v>
      </c>
      <c r="L730" t="s">
        <v>73</v>
      </c>
      <c r="M730" t="s">
        <v>21</v>
      </c>
      <c r="N730">
        <v>3</v>
      </c>
      <c r="O730" t="s">
        <v>22</v>
      </c>
      <c r="P730">
        <v>2179.11</v>
      </c>
      <c r="Q730" t="s">
        <v>35</v>
      </c>
      <c r="R730" t="s">
        <v>36</v>
      </c>
      <c r="S730">
        <v>560001</v>
      </c>
      <c r="T730" t="s">
        <v>25</v>
      </c>
      <c r="U730" t="s">
        <v>44</v>
      </c>
    </row>
    <row r="731" spans="1:21" x14ac:dyDescent="0.3">
      <c r="A731">
        <v>730</v>
      </c>
      <c r="B731" t="s">
        <v>2511</v>
      </c>
      <c r="C731" t="s">
        <v>2512</v>
      </c>
      <c r="D731" t="s">
        <v>29</v>
      </c>
      <c r="E731">
        <v>46</v>
      </c>
      <c r="F731" t="str">
        <f t="shared" si="22"/>
        <v>Adult</v>
      </c>
      <c r="G731" t="s">
        <v>118</v>
      </c>
      <c r="H731" t="str">
        <f t="shared" si="23"/>
        <v>Oct</v>
      </c>
      <c r="I731" t="s">
        <v>60</v>
      </c>
      <c r="J731" t="s">
        <v>40</v>
      </c>
      <c r="K731" t="s">
        <v>2513</v>
      </c>
      <c r="L731" t="s">
        <v>56</v>
      </c>
      <c r="M731" t="s">
        <v>85</v>
      </c>
      <c r="N731">
        <v>3</v>
      </c>
      <c r="O731" t="s">
        <v>22</v>
      </c>
      <c r="P731">
        <v>1029.6500000000001</v>
      </c>
      <c r="Q731" t="s">
        <v>35</v>
      </c>
      <c r="R731" t="s">
        <v>36</v>
      </c>
      <c r="S731">
        <v>560001</v>
      </c>
      <c r="T731" t="s">
        <v>25</v>
      </c>
      <c r="U731" t="s">
        <v>26</v>
      </c>
    </row>
    <row r="732" spans="1:21" x14ac:dyDescent="0.3">
      <c r="A732">
        <v>731</v>
      </c>
      <c r="B732" t="s">
        <v>2514</v>
      </c>
      <c r="C732" t="s">
        <v>2515</v>
      </c>
      <c r="D732" t="s">
        <v>15</v>
      </c>
      <c r="E732">
        <v>39</v>
      </c>
      <c r="F732" t="str">
        <f t="shared" si="22"/>
        <v>Adult</v>
      </c>
      <c r="G732" t="s">
        <v>2516</v>
      </c>
      <c r="H732" t="str">
        <f t="shared" si="23"/>
        <v>May</v>
      </c>
      <c r="I732" t="s">
        <v>60</v>
      </c>
      <c r="J732" t="s">
        <v>40</v>
      </c>
      <c r="K732" t="s">
        <v>2517</v>
      </c>
      <c r="L732" t="s">
        <v>56</v>
      </c>
      <c r="M732" t="s">
        <v>85</v>
      </c>
      <c r="N732">
        <v>4</v>
      </c>
      <c r="O732" t="s">
        <v>22</v>
      </c>
      <c r="P732">
        <v>3330.34</v>
      </c>
      <c r="Q732" t="s">
        <v>74</v>
      </c>
      <c r="R732" t="s">
        <v>75</v>
      </c>
      <c r="S732">
        <v>226001</v>
      </c>
      <c r="T732" t="s">
        <v>25</v>
      </c>
      <c r="U732" t="s">
        <v>26</v>
      </c>
    </row>
    <row r="733" spans="1:21" x14ac:dyDescent="0.3">
      <c r="A733">
        <v>732</v>
      </c>
      <c r="B733" t="s">
        <v>2518</v>
      </c>
      <c r="C733" t="s">
        <v>2519</v>
      </c>
      <c r="D733" t="s">
        <v>15</v>
      </c>
      <c r="E733">
        <v>45</v>
      </c>
      <c r="F733" t="str">
        <f t="shared" si="22"/>
        <v>Adult</v>
      </c>
      <c r="G733" t="s">
        <v>404</v>
      </c>
      <c r="H733" t="str">
        <f t="shared" si="23"/>
        <v>Feb</v>
      </c>
      <c r="I733" t="s">
        <v>60</v>
      </c>
      <c r="J733" t="s">
        <v>40</v>
      </c>
      <c r="K733" t="s">
        <v>2520</v>
      </c>
      <c r="L733" t="s">
        <v>62</v>
      </c>
      <c r="M733" t="s">
        <v>50</v>
      </c>
      <c r="N733">
        <v>3</v>
      </c>
      <c r="O733" t="s">
        <v>22</v>
      </c>
      <c r="P733">
        <v>1003.27</v>
      </c>
      <c r="Q733" t="s">
        <v>51</v>
      </c>
      <c r="R733" t="s">
        <v>51</v>
      </c>
      <c r="S733">
        <v>110001</v>
      </c>
      <c r="T733" t="s">
        <v>25</v>
      </c>
      <c r="U733" t="s">
        <v>26</v>
      </c>
    </row>
    <row r="734" spans="1:21" x14ac:dyDescent="0.3">
      <c r="A734">
        <v>733</v>
      </c>
      <c r="B734" t="s">
        <v>2521</v>
      </c>
      <c r="C734" t="s">
        <v>2522</v>
      </c>
      <c r="D734" t="s">
        <v>15</v>
      </c>
      <c r="E734">
        <v>34</v>
      </c>
      <c r="F734" t="str">
        <f t="shared" si="22"/>
        <v>Adult</v>
      </c>
      <c r="G734" t="s">
        <v>764</v>
      </c>
      <c r="H734" t="str">
        <f t="shared" si="23"/>
        <v>Nov</v>
      </c>
      <c r="I734" t="s">
        <v>60</v>
      </c>
      <c r="J734" t="s">
        <v>40</v>
      </c>
      <c r="K734" t="s">
        <v>2523</v>
      </c>
      <c r="L734" t="s">
        <v>73</v>
      </c>
      <c r="M734" t="s">
        <v>50</v>
      </c>
      <c r="N734">
        <v>1</v>
      </c>
      <c r="O734" t="s">
        <v>22</v>
      </c>
      <c r="P734">
        <v>2822.47</v>
      </c>
      <c r="Q734" t="s">
        <v>51</v>
      </c>
      <c r="R734" t="s">
        <v>51</v>
      </c>
      <c r="S734">
        <v>110001</v>
      </c>
      <c r="T734" t="s">
        <v>25</v>
      </c>
      <c r="U734" t="s">
        <v>44</v>
      </c>
    </row>
    <row r="735" spans="1:21" x14ac:dyDescent="0.3">
      <c r="A735">
        <v>734</v>
      </c>
      <c r="B735" t="s">
        <v>2524</v>
      </c>
      <c r="C735" t="s">
        <v>2525</v>
      </c>
      <c r="D735" t="s">
        <v>29</v>
      </c>
      <c r="E735">
        <v>18</v>
      </c>
      <c r="F735" t="str">
        <f t="shared" si="22"/>
        <v>Teenager</v>
      </c>
      <c r="G735" t="s">
        <v>2366</v>
      </c>
      <c r="H735" t="str">
        <f t="shared" si="23"/>
        <v>Aug</v>
      </c>
      <c r="I735" t="s">
        <v>60</v>
      </c>
      <c r="J735" t="s">
        <v>40</v>
      </c>
      <c r="K735" t="s">
        <v>2526</v>
      </c>
      <c r="L735" t="s">
        <v>56</v>
      </c>
      <c r="M735" t="s">
        <v>21</v>
      </c>
      <c r="N735">
        <v>2</v>
      </c>
      <c r="O735" t="s">
        <v>22</v>
      </c>
      <c r="P735">
        <v>4301.12</v>
      </c>
      <c r="Q735" t="s">
        <v>42</v>
      </c>
      <c r="R735" t="s">
        <v>43</v>
      </c>
      <c r="S735">
        <v>302001</v>
      </c>
      <c r="T735" t="s">
        <v>25</v>
      </c>
      <c r="U735" t="s">
        <v>26</v>
      </c>
    </row>
    <row r="736" spans="1:21" x14ac:dyDescent="0.3">
      <c r="A736">
        <v>735</v>
      </c>
      <c r="B736" t="s">
        <v>2527</v>
      </c>
      <c r="C736" t="s">
        <v>2528</v>
      </c>
      <c r="D736" t="s">
        <v>29</v>
      </c>
      <c r="E736">
        <v>39</v>
      </c>
      <c r="F736" t="str">
        <f t="shared" si="22"/>
        <v>Adult</v>
      </c>
      <c r="G736" t="s">
        <v>187</v>
      </c>
      <c r="H736" t="str">
        <f t="shared" si="23"/>
        <v>Apr</v>
      </c>
      <c r="I736" t="s">
        <v>60</v>
      </c>
      <c r="J736" t="s">
        <v>40</v>
      </c>
      <c r="K736" t="s">
        <v>2529</v>
      </c>
      <c r="L736" t="s">
        <v>73</v>
      </c>
      <c r="M736" t="s">
        <v>34</v>
      </c>
      <c r="N736">
        <v>2</v>
      </c>
      <c r="O736" t="s">
        <v>22</v>
      </c>
      <c r="P736">
        <v>4901.0600000000004</v>
      </c>
      <c r="Q736" t="s">
        <v>51</v>
      </c>
      <c r="R736" t="s">
        <v>43</v>
      </c>
      <c r="S736">
        <v>110001</v>
      </c>
      <c r="T736" t="s">
        <v>25</v>
      </c>
      <c r="U736" t="s">
        <v>26</v>
      </c>
    </row>
    <row r="737" spans="1:21" x14ac:dyDescent="0.3">
      <c r="A737">
        <v>736</v>
      </c>
      <c r="B737" t="s">
        <v>2530</v>
      </c>
      <c r="C737" t="s">
        <v>2531</v>
      </c>
      <c r="D737" t="s">
        <v>29</v>
      </c>
      <c r="E737">
        <v>37</v>
      </c>
      <c r="F737" t="str">
        <f t="shared" si="22"/>
        <v>Adult</v>
      </c>
      <c r="G737" t="s">
        <v>2532</v>
      </c>
      <c r="H737" t="str">
        <f t="shared" si="23"/>
        <v>Oct</v>
      </c>
      <c r="I737" t="s">
        <v>60</v>
      </c>
      <c r="J737" t="s">
        <v>40</v>
      </c>
      <c r="K737" t="s">
        <v>2533</v>
      </c>
      <c r="L737" t="s">
        <v>62</v>
      </c>
      <c r="M737" t="s">
        <v>34</v>
      </c>
      <c r="N737">
        <v>5</v>
      </c>
      <c r="O737" t="s">
        <v>22</v>
      </c>
      <c r="P737">
        <v>399.2</v>
      </c>
      <c r="Q737" t="s">
        <v>42</v>
      </c>
      <c r="R737" t="s">
        <v>43</v>
      </c>
      <c r="S737">
        <v>302001</v>
      </c>
      <c r="T737" t="s">
        <v>25</v>
      </c>
      <c r="U737" t="s">
        <v>26</v>
      </c>
    </row>
    <row r="738" spans="1:21" x14ac:dyDescent="0.3">
      <c r="A738">
        <v>737</v>
      </c>
      <c r="B738" t="s">
        <v>2534</v>
      </c>
      <c r="C738" t="s">
        <v>2535</v>
      </c>
      <c r="D738" t="s">
        <v>29</v>
      </c>
      <c r="E738">
        <v>57</v>
      </c>
      <c r="F738" t="str">
        <f t="shared" si="22"/>
        <v>Senior</v>
      </c>
      <c r="G738" t="s">
        <v>171</v>
      </c>
      <c r="H738" t="str">
        <f t="shared" si="23"/>
        <v>Jul</v>
      </c>
      <c r="I738" t="s">
        <v>60</v>
      </c>
      <c r="J738" t="s">
        <v>40</v>
      </c>
      <c r="K738" t="s">
        <v>2536</v>
      </c>
      <c r="L738" t="s">
        <v>62</v>
      </c>
      <c r="M738" t="s">
        <v>34</v>
      </c>
      <c r="N738">
        <v>5</v>
      </c>
      <c r="O738" t="s">
        <v>22</v>
      </c>
      <c r="P738">
        <v>1917.23</v>
      </c>
      <c r="Q738" t="s">
        <v>35</v>
      </c>
      <c r="R738" t="s">
        <v>43</v>
      </c>
      <c r="S738">
        <v>560001</v>
      </c>
      <c r="T738" t="s">
        <v>25</v>
      </c>
      <c r="U738" t="s">
        <v>26</v>
      </c>
    </row>
    <row r="739" spans="1:21" x14ac:dyDescent="0.3">
      <c r="A739">
        <v>738</v>
      </c>
      <c r="B739" t="s">
        <v>2537</v>
      </c>
      <c r="C739" t="s">
        <v>2538</v>
      </c>
      <c r="D739" t="s">
        <v>15</v>
      </c>
      <c r="E739">
        <v>51</v>
      </c>
      <c r="F739" t="str">
        <f t="shared" si="22"/>
        <v>Senior</v>
      </c>
      <c r="G739" t="s">
        <v>1375</v>
      </c>
      <c r="H739" t="str">
        <f t="shared" si="23"/>
        <v>Apr</v>
      </c>
      <c r="I739" t="s">
        <v>60</v>
      </c>
      <c r="J739" t="s">
        <v>40</v>
      </c>
      <c r="K739" t="s">
        <v>2539</v>
      </c>
      <c r="L739" t="s">
        <v>62</v>
      </c>
      <c r="M739" t="s">
        <v>21</v>
      </c>
      <c r="N739">
        <v>5</v>
      </c>
      <c r="O739" t="s">
        <v>22</v>
      </c>
      <c r="P739">
        <v>2432.86</v>
      </c>
      <c r="Q739" t="s">
        <v>35</v>
      </c>
      <c r="R739" t="s">
        <v>43</v>
      </c>
      <c r="S739">
        <v>560001</v>
      </c>
      <c r="T739" t="s">
        <v>25</v>
      </c>
      <c r="U739" t="s">
        <v>44</v>
      </c>
    </row>
    <row r="740" spans="1:21" x14ac:dyDescent="0.3">
      <c r="A740">
        <v>739</v>
      </c>
      <c r="B740" t="s">
        <v>2540</v>
      </c>
      <c r="C740" t="s">
        <v>2541</v>
      </c>
      <c r="D740" t="s">
        <v>15</v>
      </c>
      <c r="E740">
        <v>20</v>
      </c>
      <c r="F740" t="str">
        <f t="shared" si="22"/>
        <v>Teenager</v>
      </c>
      <c r="G740" t="s">
        <v>1819</v>
      </c>
      <c r="H740" t="str">
        <f t="shared" si="23"/>
        <v>Nov</v>
      </c>
      <c r="I740" t="s">
        <v>60</v>
      </c>
      <c r="J740" t="s">
        <v>40</v>
      </c>
      <c r="K740" t="s">
        <v>2542</v>
      </c>
      <c r="L740" t="s">
        <v>107</v>
      </c>
      <c r="M740" t="s">
        <v>85</v>
      </c>
      <c r="N740">
        <v>5</v>
      </c>
      <c r="O740" t="s">
        <v>22</v>
      </c>
      <c r="P740">
        <v>4862.33</v>
      </c>
      <c r="Q740" t="s">
        <v>35</v>
      </c>
      <c r="R740" t="s">
        <v>43</v>
      </c>
      <c r="S740">
        <v>560001</v>
      </c>
      <c r="T740" t="s">
        <v>25</v>
      </c>
      <c r="U740" t="s">
        <v>44</v>
      </c>
    </row>
    <row r="741" spans="1:21" x14ac:dyDescent="0.3">
      <c r="A741">
        <v>740</v>
      </c>
      <c r="B741" t="s">
        <v>2543</v>
      </c>
      <c r="C741" t="s">
        <v>2544</v>
      </c>
      <c r="D741" t="s">
        <v>15</v>
      </c>
      <c r="E741">
        <v>40</v>
      </c>
      <c r="F741" t="str">
        <f t="shared" si="22"/>
        <v>Adult</v>
      </c>
      <c r="G741" t="s">
        <v>183</v>
      </c>
      <c r="H741" t="str">
        <f t="shared" si="23"/>
        <v>Jul</v>
      </c>
      <c r="I741" t="s">
        <v>60</v>
      </c>
      <c r="J741" t="s">
        <v>40</v>
      </c>
      <c r="K741" t="s">
        <v>2545</v>
      </c>
      <c r="L741" t="s">
        <v>56</v>
      </c>
      <c r="M741" t="s">
        <v>34</v>
      </c>
      <c r="N741">
        <v>3</v>
      </c>
      <c r="O741" t="s">
        <v>22</v>
      </c>
      <c r="P741">
        <v>2479.2800000000002</v>
      </c>
      <c r="Q741" t="s">
        <v>23</v>
      </c>
      <c r="R741" t="s">
        <v>43</v>
      </c>
      <c r="S741">
        <v>400001</v>
      </c>
      <c r="T741" t="s">
        <v>25</v>
      </c>
      <c r="U741" t="s">
        <v>44</v>
      </c>
    </row>
    <row r="742" spans="1:21" x14ac:dyDescent="0.3">
      <c r="A742">
        <v>741</v>
      </c>
      <c r="B742" t="s">
        <v>2546</v>
      </c>
      <c r="C742" t="s">
        <v>2547</v>
      </c>
      <c r="D742" t="s">
        <v>29</v>
      </c>
      <c r="E742">
        <v>32</v>
      </c>
      <c r="F742" t="str">
        <f t="shared" si="22"/>
        <v>Adult</v>
      </c>
      <c r="G742" t="s">
        <v>802</v>
      </c>
      <c r="H742" t="str">
        <f t="shared" si="23"/>
        <v>Oct</v>
      </c>
      <c r="I742" t="s">
        <v>60</v>
      </c>
      <c r="J742" t="s">
        <v>40</v>
      </c>
      <c r="K742" t="s">
        <v>2548</v>
      </c>
      <c r="L742" t="s">
        <v>33</v>
      </c>
      <c r="M742" t="s">
        <v>50</v>
      </c>
      <c r="N742">
        <v>2</v>
      </c>
      <c r="O742" t="s">
        <v>22</v>
      </c>
      <c r="P742">
        <v>3052.16</v>
      </c>
      <c r="Q742" t="s">
        <v>51</v>
      </c>
      <c r="R742" t="s">
        <v>43</v>
      </c>
      <c r="S742">
        <v>110001</v>
      </c>
      <c r="T742" t="s">
        <v>25</v>
      </c>
      <c r="U742" t="s">
        <v>44</v>
      </c>
    </row>
    <row r="743" spans="1:21" x14ac:dyDescent="0.3">
      <c r="A743">
        <v>742</v>
      </c>
      <c r="B743" t="s">
        <v>2549</v>
      </c>
      <c r="C743" t="s">
        <v>2550</v>
      </c>
      <c r="D743" t="s">
        <v>29</v>
      </c>
      <c r="E743">
        <v>25</v>
      </c>
      <c r="F743" t="str">
        <f t="shared" si="22"/>
        <v>Teenager</v>
      </c>
      <c r="G743" t="s">
        <v>404</v>
      </c>
      <c r="H743" t="str">
        <f t="shared" si="23"/>
        <v>Feb</v>
      </c>
      <c r="I743" t="s">
        <v>60</v>
      </c>
      <c r="J743" t="s">
        <v>40</v>
      </c>
      <c r="K743" t="s">
        <v>2551</v>
      </c>
      <c r="L743" t="s">
        <v>33</v>
      </c>
      <c r="M743" t="s">
        <v>50</v>
      </c>
      <c r="N743">
        <v>4</v>
      </c>
      <c r="O743" t="s">
        <v>22</v>
      </c>
      <c r="P743">
        <v>920.48</v>
      </c>
      <c r="Q743" t="s">
        <v>35</v>
      </c>
      <c r="R743" t="s">
        <v>43</v>
      </c>
      <c r="S743">
        <v>560001</v>
      </c>
      <c r="T743" t="s">
        <v>25</v>
      </c>
      <c r="U743" t="s">
        <v>26</v>
      </c>
    </row>
    <row r="744" spans="1:21" x14ac:dyDescent="0.3">
      <c r="A744">
        <v>743</v>
      </c>
      <c r="B744" t="s">
        <v>2552</v>
      </c>
      <c r="C744" t="s">
        <v>2553</v>
      </c>
      <c r="D744" t="s">
        <v>29</v>
      </c>
      <c r="E744">
        <v>60</v>
      </c>
      <c r="F744" t="str">
        <f t="shared" si="22"/>
        <v>Senior</v>
      </c>
      <c r="G744" t="s">
        <v>296</v>
      </c>
      <c r="H744" t="str">
        <f t="shared" si="23"/>
        <v>Jan</v>
      </c>
      <c r="I744" t="s">
        <v>60</v>
      </c>
      <c r="J744" t="s">
        <v>40</v>
      </c>
      <c r="K744" t="s">
        <v>2554</v>
      </c>
      <c r="L744" t="s">
        <v>20</v>
      </c>
      <c r="M744" t="s">
        <v>34</v>
      </c>
      <c r="N744">
        <v>4</v>
      </c>
      <c r="O744" t="s">
        <v>22</v>
      </c>
      <c r="P744">
        <v>3151.18</v>
      </c>
      <c r="Q744" t="s">
        <v>35</v>
      </c>
      <c r="R744" t="s">
        <v>43</v>
      </c>
      <c r="S744">
        <v>560001</v>
      </c>
      <c r="T744" t="s">
        <v>25</v>
      </c>
      <c r="U744" t="s">
        <v>44</v>
      </c>
    </row>
    <row r="745" spans="1:21" x14ac:dyDescent="0.3">
      <c r="A745">
        <v>744</v>
      </c>
      <c r="B745" t="s">
        <v>2555</v>
      </c>
      <c r="C745" t="s">
        <v>2556</v>
      </c>
      <c r="D745" t="s">
        <v>15</v>
      </c>
      <c r="E745">
        <v>46</v>
      </c>
      <c r="F745" t="str">
        <f t="shared" si="22"/>
        <v>Adult</v>
      </c>
      <c r="G745" t="s">
        <v>996</v>
      </c>
      <c r="H745" t="str">
        <f t="shared" si="23"/>
        <v>Sep</v>
      </c>
      <c r="I745" t="s">
        <v>60</v>
      </c>
      <c r="J745" t="s">
        <v>40</v>
      </c>
      <c r="K745" t="s">
        <v>2557</v>
      </c>
      <c r="L745" t="s">
        <v>33</v>
      </c>
      <c r="M745" t="s">
        <v>34</v>
      </c>
      <c r="N745">
        <v>4</v>
      </c>
      <c r="O745" t="s">
        <v>22</v>
      </c>
      <c r="P745">
        <v>3875.66</v>
      </c>
      <c r="Q745" t="s">
        <v>23</v>
      </c>
      <c r="R745" t="s">
        <v>43</v>
      </c>
      <c r="S745">
        <v>400001</v>
      </c>
      <c r="T745" t="s">
        <v>25</v>
      </c>
      <c r="U745" t="s">
        <v>26</v>
      </c>
    </row>
    <row r="746" spans="1:21" x14ac:dyDescent="0.3">
      <c r="A746">
        <v>745</v>
      </c>
      <c r="B746" t="s">
        <v>2558</v>
      </c>
      <c r="C746" t="s">
        <v>2559</v>
      </c>
      <c r="D746" t="s">
        <v>29</v>
      </c>
      <c r="E746">
        <v>39</v>
      </c>
      <c r="F746" t="str">
        <f t="shared" si="22"/>
        <v>Adult</v>
      </c>
      <c r="G746" t="s">
        <v>2317</v>
      </c>
      <c r="H746" t="str">
        <f t="shared" si="23"/>
        <v>Jun</v>
      </c>
      <c r="I746" t="s">
        <v>60</v>
      </c>
      <c r="J746" t="s">
        <v>40</v>
      </c>
      <c r="K746" t="s">
        <v>2560</v>
      </c>
      <c r="L746" t="s">
        <v>73</v>
      </c>
      <c r="M746" t="s">
        <v>85</v>
      </c>
      <c r="N746">
        <v>4</v>
      </c>
      <c r="O746" t="s">
        <v>22</v>
      </c>
      <c r="P746">
        <v>4786.8900000000003</v>
      </c>
      <c r="Q746" t="s">
        <v>23</v>
      </c>
      <c r="R746" t="s">
        <v>43</v>
      </c>
      <c r="S746">
        <v>400001</v>
      </c>
      <c r="T746" t="s">
        <v>25</v>
      </c>
      <c r="U746" t="s">
        <v>44</v>
      </c>
    </row>
    <row r="747" spans="1:21" x14ac:dyDescent="0.3">
      <c r="A747">
        <v>746</v>
      </c>
      <c r="B747" t="s">
        <v>2561</v>
      </c>
      <c r="C747" t="s">
        <v>127</v>
      </c>
      <c r="D747" t="s">
        <v>15</v>
      </c>
      <c r="E747">
        <v>56</v>
      </c>
      <c r="F747" t="str">
        <f t="shared" si="22"/>
        <v>Senior</v>
      </c>
      <c r="G747" t="s">
        <v>408</v>
      </c>
      <c r="H747" t="str">
        <f t="shared" si="23"/>
        <v>Mar</v>
      </c>
      <c r="I747" t="s">
        <v>60</v>
      </c>
      <c r="J747" t="s">
        <v>40</v>
      </c>
      <c r="K747" t="s">
        <v>2562</v>
      </c>
      <c r="L747" t="s">
        <v>56</v>
      </c>
      <c r="M747" t="s">
        <v>85</v>
      </c>
      <c r="N747">
        <v>1</v>
      </c>
      <c r="O747" t="s">
        <v>22</v>
      </c>
      <c r="P747">
        <v>3255.35</v>
      </c>
      <c r="Q747" t="s">
        <v>42</v>
      </c>
      <c r="R747" t="s">
        <v>43</v>
      </c>
      <c r="S747">
        <v>302001</v>
      </c>
      <c r="T747" t="s">
        <v>25</v>
      </c>
      <c r="U747" t="s">
        <v>44</v>
      </c>
    </row>
    <row r="748" spans="1:21" x14ac:dyDescent="0.3">
      <c r="A748">
        <v>747</v>
      </c>
      <c r="B748" t="s">
        <v>2563</v>
      </c>
      <c r="C748" t="s">
        <v>2564</v>
      </c>
      <c r="D748" t="s">
        <v>29</v>
      </c>
      <c r="E748">
        <v>33</v>
      </c>
      <c r="F748" t="str">
        <f t="shared" si="22"/>
        <v>Adult</v>
      </c>
      <c r="G748" t="s">
        <v>1519</v>
      </c>
      <c r="H748" t="str">
        <f t="shared" si="23"/>
        <v>Dec</v>
      </c>
      <c r="I748" t="s">
        <v>60</v>
      </c>
      <c r="J748" t="s">
        <v>40</v>
      </c>
      <c r="K748" t="s">
        <v>2565</v>
      </c>
      <c r="L748" t="s">
        <v>73</v>
      </c>
      <c r="M748" t="s">
        <v>85</v>
      </c>
      <c r="N748">
        <v>2</v>
      </c>
      <c r="O748" t="s">
        <v>22</v>
      </c>
      <c r="P748">
        <v>4660.84</v>
      </c>
      <c r="Q748" t="s">
        <v>42</v>
      </c>
      <c r="R748" t="s">
        <v>43</v>
      </c>
      <c r="S748">
        <v>302001</v>
      </c>
      <c r="T748" t="s">
        <v>25</v>
      </c>
      <c r="U748" t="s">
        <v>26</v>
      </c>
    </row>
    <row r="749" spans="1:21" x14ac:dyDescent="0.3">
      <c r="A749">
        <v>748</v>
      </c>
      <c r="B749" t="s">
        <v>2566</v>
      </c>
      <c r="C749" t="s">
        <v>2567</v>
      </c>
      <c r="D749" t="s">
        <v>29</v>
      </c>
      <c r="E749">
        <v>51</v>
      </c>
      <c r="F749" t="str">
        <f t="shared" si="22"/>
        <v>Senior</v>
      </c>
      <c r="G749" t="s">
        <v>935</v>
      </c>
      <c r="H749" t="str">
        <f t="shared" si="23"/>
        <v>Jun</v>
      </c>
      <c r="I749" t="s">
        <v>60</v>
      </c>
      <c r="J749" t="s">
        <v>40</v>
      </c>
      <c r="K749" t="s">
        <v>2568</v>
      </c>
      <c r="L749" t="s">
        <v>73</v>
      </c>
      <c r="M749" t="s">
        <v>21</v>
      </c>
      <c r="N749">
        <v>2</v>
      </c>
      <c r="O749" t="s">
        <v>22</v>
      </c>
      <c r="P749">
        <v>345.01</v>
      </c>
      <c r="Q749" t="s">
        <v>74</v>
      </c>
      <c r="R749" t="s">
        <v>43</v>
      </c>
      <c r="S749">
        <v>226001</v>
      </c>
      <c r="T749" t="s">
        <v>25</v>
      </c>
      <c r="U749" t="s">
        <v>26</v>
      </c>
    </row>
    <row r="750" spans="1:21" x14ac:dyDescent="0.3">
      <c r="A750">
        <v>749</v>
      </c>
      <c r="B750" t="s">
        <v>2569</v>
      </c>
      <c r="C750" t="s">
        <v>2570</v>
      </c>
      <c r="D750" t="s">
        <v>29</v>
      </c>
      <c r="E750">
        <v>54</v>
      </c>
      <c r="F750" t="str">
        <f t="shared" si="22"/>
        <v>Senior</v>
      </c>
      <c r="G750" t="s">
        <v>2571</v>
      </c>
      <c r="H750" t="str">
        <f t="shared" si="23"/>
        <v>Aug</v>
      </c>
      <c r="I750" t="s">
        <v>60</v>
      </c>
      <c r="J750" t="s">
        <v>40</v>
      </c>
      <c r="K750" t="s">
        <v>2572</v>
      </c>
      <c r="L750" t="s">
        <v>62</v>
      </c>
      <c r="M750" t="s">
        <v>21</v>
      </c>
      <c r="N750">
        <v>3</v>
      </c>
      <c r="O750" t="s">
        <v>22</v>
      </c>
      <c r="P750">
        <v>3294.35</v>
      </c>
      <c r="Q750" t="s">
        <v>74</v>
      </c>
      <c r="R750" t="s">
        <v>43</v>
      </c>
      <c r="S750">
        <v>226001</v>
      </c>
      <c r="T750" t="s">
        <v>25</v>
      </c>
      <c r="U750" t="s">
        <v>26</v>
      </c>
    </row>
    <row r="751" spans="1:21" x14ac:dyDescent="0.3">
      <c r="A751">
        <v>750</v>
      </c>
      <c r="B751" t="s">
        <v>2573</v>
      </c>
      <c r="C751" t="s">
        <v>2574</v>
      </c>
      <c r="D751" t="s">
        <v>15</v>
      </c>
      <c r="E751">
        <v>24</v>
      </c>
      <c r="F751" t="str">
        <f t="shared" si="22"/>
        <v>Teenager</v>
      </c>
      <c r="G751" t="s">
        <v>1983</v>
      </c>
      <c r="H751" t="str">
        <f t="shared" si="23"/>
        <v>Jul</v>
      </c>
      <c r="I751" t="s">
        <v>60</v>
      </c>
      <c r="J751" t="s">
        <v>40</v>
      </c>
      <c r="K751" t="s">
        <v>2575</v>
      </c>
      <c r="L751" t="s">
        <v>62</v>
      </c>
      <c r="M751" t="s">
        <v>85</v>
      </c>
      <c r="N751">
        <v>1</v>
      </c>
      <c r="O751" t="s">
        <v>22</v>
      </c>
      <c r="P751">
        <v>3016.67</v>
      </c>
      <c r="Q751" t="s">
        <v>35</v>
      </c>
      <c r="R751" t="s">
        <v>43</v>
      </c>
      <c r="S751">
        <v>560001</v>
      </c>
      <c r="T751" t="s">
        <v>25</v>
      </c>
      <c r="U751" t="s">
        <v>26</v>
      </c>
    </row>
    <row r="752" spans="1:21" x14ac:dyDescent="0.3">
      <c r="A752">
        <v>751</v>
      </c>
      <c r="B752" t="s">
        <v>2576</v>
      </c>
      <c r="C752" t="s">
        <v>2577</v>
      </c>
      <c r="D752" t="s">
        <v>29</v>
      </c>
      <c r="E752">
        <v>33</v>
      </c>
      <c r="F752" t="str">
        <f t="shared" si="22"/>
        <v>Adult</v>
      </c>
      <c r="G752" t="s">
        <v>1703</v>
      </c>
      <c r="H752" t="str">
        <f t="shared" si="23"/>
        <v>Nov</v>
      </c>
      <c r="I752" t="s">
        <v>60</v>
      </c>
      <c r="J752" t="s">
        <v>31</v>
      </c>
      <c r="K752" t="s">
        <v>2578</v>
      </c>
      <c r="L752" t="s">
        <v>20</v>
      </c>
      <c r="M752" t="s">
        <v>21</v>
      </c>
      <c r="N752">
        <v>2</v>
      </c>
      <c r="O752" t="s">
        <v>22</v>
      </c>
      <c r="P752">
        <v>3240.55</v>
      </c>
      <c r="Q752" t="s">
        <v>51</v>
      </c>
      <c r="R752" t="s">
        <v>43</v>
      </c>
      <c r="S752">
        <v>110001</v>
      </c>
      <c r="T752" t="s">
        <v>25</v>
      </c>
      <c r="U752" t="s">
        <v>44</v>
      </c>
    </row>
    <row r="753" spans="1:21" x14ac:dyDescent="0.3">
      <c r="A753">
        <v>752</v>
      </c>
      <c r="B753" t="s">
        <v>2579</v>
      </c>
      <c r="C753" t="s">
        <v>2580</v>
      </c>
      <c r="D753" t="s">
        <v>29</v>
      </c>
      <c r="E753">
        <v>43</v>
      </c>
      <c r="F753" t="str">
        <f t="shared" si="22"/>
        <v>Adult</v>
      </c>
      <c r="G753" t="s">
        <v>1819</v>
      </c>
      <c r="H753" t="str">
        <f t="shared" si="23"/>
        <v>Nov</v>
      </c>
      <c r="I753" t="s">
        <v>60</v>
      </c>
      <c r="J753" t="s">
        <v>101</v>
      </c>
      <c r="K753" t="s">
        <v>2581</v>
      </c>
      <c r="L753" t="s">
        <v>107</v>
      </c>
      <c r="M753" t="s">
        <v>85</v>
      </c>
      <c r="N753">
        <v>4</v>
      </c>
      <c r="O753" t="s">
        <v>22</v>
      </c>
      <c r="P753">
        <v>1120.18</v>
      </c>
      <c r="Q753" t="s">
        <v>42</v>
      </c>
      <c r="R753" t="s">
        <v>24</v>
      </c>
      <c r="S753">
        <v>302001</v>
      </c>
      <c r="T753" t="s">
        <v>25</v>
      </c>
      <c r="U753" t="s">
        <v>44</v>
      </c>
    </row>
    <row r="754" spans="1:21" x14ac:dyDescent="0.3">
      <c r="A754">
        <v>753</v>
      </c>
      <c r="B754" t="s">
        <v>2582</v>
      </c>
      <c r="C754" t="s">
        <v>2583</v>
      </c>
      <c r="D754" t="s">
        <v>15</v>
      </c>
      <c r="E754">
        <v>52</v>
      </c>
      <c r="F754" t="str">
        <f t="shared" si="22"/>
        <v>Senior</v>
      </c>
      <c r="G754" t="s">
        <v>1122</v>
      </c>
      <c r="H754" t="str">
        <f t="shared" si="23"/>
        <v>Nov</v>
      </c>
      <c r="I754" t="s">
        <v>60</v>
      </c>
      <c r="J754" t="s">
        <v>71</v>
      </c>
      <c r="K754" t="s">
        <v>2584</v>
      </c>
      <c r="L754" t="s">
        <v>62</v>
      </c>
      <c r="M754" t="s">
        <v>34</v>
      </c>
      <c r="N754">
        <v>5</v>
      </c>
      <c r="O754" t="s">
        <v>22</v>
      </c>
      <c r="P754">
        <v>1994.8</v>
      </c>
      <c r="Q754" t="s">
        <v>35</v>
      </c>
      <c r="R754" t="s">
        <v>24</v>
      </c>
      <c r="S754">
        <v>560001</v>
      </c>
      <c r="T754" t="s">
        <v>25</v>
      </c>
      <c r="U754" t="s">
        <v>44</v>
      </c>
    </row>
    <row r="755" spans="1:21" x14ac:dyDescent="0.3">
      <c r="A755">
        <v>754</v>
      </c>
      <c r="B755" t="s">
        <v>2585</v>
      </c>
      <c r="C755" t="s">
        <v>2586</v>
      </c>
      <c r="D755" t="s">
        <v>15</v>
      </c>
      <c r="E755">
        <v>32</v>
      </c>
      <c r="F755" t="str">
        <f t="shared" si="22"/>
        <v>Adult</v>
      </c>
      <c r="G755" t="s">
        <v>1612</v>
      </c>
      <c r="H755" t="str">
        <f t="shared" si="23"/>
        <v>Jan</v>
      </c>
      <c r="I755" t="s">
        <v>60</v>
      </c>
      <c r="J755" t="s">
        <v>101</v>
      </c>
      <c r="K755" t="s">
        <v>2587</v>
      </c>
      <c r="L755" t="s">
        <v>20</v>
      </c>
      <c r="M755" t="s">
        <v>21</v>
      </c>
      <c r="N755">
        <v>3</v>
      </c>
      <c r="O755" t="s">
        <v>22</v>
      </c>
      <c r="P755">
        <v>3007.68</v>
      </c>
      <c r="Q755" t="s">
        <v>74</v>
      </c>
      <c r="R755" t="s">
        <v>24</v>
      </c>
      <c r="S755">
        <v>226001</v>
      </c>
      <c r="T755" t="s">
        <v>25</v>
      </c>
      <c r="U755" t="s">
        <v>44</v>
      </c>
    </row>
    <row r="756" spans="1:21" x14ac:dyDescent="0.3">
      <c r="A756">
        <v>755</v>
      </c>
      <c r="B756" t="s">
        <v>2588</v>
      </c>
      <c r="C756" t="s">
        <v>2589</v>
      </c>
      <c r="D756" t="s">
        <v>15</v>
      </c>
      <c r="E756">
        <v>26</v>
      </c>
      <c r="F756" t="str">
        <f t="shared" si="22"/>
        <v>Teenager</v>
      </c>
      <c r="G756" t="s">
        <v>878</v>
      </c>
      <c r="H756" t="str">
        <f t="shared" si="23"/>
        <v>Feb</v>
      </c>
      <c r="I756" t="s">
        <v>60</v>
      </c>
      <c r="J756" t="s">
        <v>79</v>
      </c>
      <c r="K756" t="s">
        <v>2590</v>
      </c>
      <c r="L756" t="s">
        <v>73</v>
      </c>
      <c r="M756" t="s">
        <v>21</v>
      </c>
      <c r="N756">
        <v>4</v>
      </c>
      <c r="O756" t="s">
        <v>22</v>
      </c>
      <c r="P756">
        <v>2400.4</v>
      </c>
      <c r="Q756" t="s">
        <v>23</v>
      </c>
      <c r="R756" t="s">
        <v>24</v>
      </c>
      <c r="S756">
        <v>400001</v>
      </c>
      <c r="T756" t="s">
        <v>25</v>
      </c>
      <c r="U756" t="s">
        <v>26</v>
      </c>
    </row>
    <row r="757" spans="1:21" x14ac:dyDescent="0.3">
      <c r="A757">
        <v>756</v>
      </c>
      <c r="B757" t="s">
        <v>2591</v>
      </c>
      <c r="C757" t="s">
        <v>2592</v>
      </c>
      <c r="D757" t="s">
        <v>29</v>
      </c>
      <c r="E757">
        <v>22</v>
      </c>
      <c r="F757" t="str">
        <f t="shared" si="22"/>
        <v>Teenager</v>
      </c>
      <c r="G757" t="s">
        <v>1569</v>
      </c>
      <c r="H757" t="str">
        <f t="shared" si="23"/>
        <v>Mar</v>
      </c>
      <c r="I757" t="s">
        <v>60</v>
      </c>
      <c r="J757" t="s">
        <v>31</v>
      </c>
      <c r="K757" t="s">
        <v>2593</v>
      </c>
      <c r="L757" t="s">
        <v>20</v>
      </c>
      <c r="M757" t="s">
        <v>50</v>
      </c>
      <c r="N757">
        <v>1</v>
      </c>
      <c r="O757" t="s">
        <v>22</v>
      </c>
      <c r="P757">
        <v>3285.77</v>
      </c>
      <c r="Q757" t="s">
        <v>23</v>
      </c>
      <c r="R757" t="s">
        <v>24</v>
      </c>
      <c r="S757">
        <v>400001</v>
      </c>
      <c r="T757" t="s">
        <v>25</v>
      </c>
      <c r="U757" t="s">
        <v>26</v>
      </c>
    </row>
    <row r="758" spans="1:21" x14ac:dyDescent="0.3">
      <c r="A758">
        <v>757</v>
      </c>
      <c r="B758" t="s">
        <v>2594</v>
      </c>
      <c r="C758" t="s">
        <v>2595</v>
      </c>
      <c r="D758" t="s">
        <v>29</v>
      </c>
      <c r="E758">
        <v>36</v>
      </c>
      <c r="F758" t="str">
        <f t="shared" si="22"/>
        <v>Adult</v>
      </c>
      <c r="G758" t="s">
        <v>373</v>
      </c>
      <c r="H758" t="str">
        <f t="shared" si="23"/>
        <v>Sep</v>
      </c>
      <c r="I758" t="s">
        <v>60</v>
      </c>
      <c r="J758" t="s">
        <v>31</v>
      </c>
      <c r="K758" t="s">
        <v>2596</v>
      </c>
      <c r="L758" t="s">
        <v>73</v>
      </c>
      <c r="M758" t="s">
        <v>50</v>
      </c>
      <c r="N758">
        <v>1</v>
      </c>
      <c r="O758" t="s">
        <v>22</v>
      </c>
      <c r="P758">
        <v>1672.18</v>
      </c>
      <c r="Q758" t="s">
        <v>42</v>
      </c>
      <c r="R758" t="s">
        <v>24</v>
      </c>
      <c r="S758">
        <v>302001</v>
      </c>
      <c r="T758" t="s">
        <v>25</v>
      </c>
      <c r="U758" t="s">
        <v>44</v>
      </c>
    </row>
    <row r="759" spans="1:21" x14ac:dyDescent="0.3">
      <c r="A759">
        <v>758</v>
      </c>
      <c r="B759" t="s">
        <v>2597</v>
      </c>
      <c r="C759" t="s">
        <v>2598</v>
      </c>
      <c r="D759" t="s">
        <v>29</v>
      </c>
      <c r="E759">
        <v>18</v>
      </c>
      <c r="F759" t="str">
        <f t="shared" si="22"/>
        <v>Teenager</v>
      </c>
      <c r="G759" t="s">
        <v>1340</v>
      </c>
      <c r="H759" t="str">
        <f t="shared" si="23"/>
        <v>Dec</v>
      </c>
      <c r="I759" t="s">
        <v>60</v>
      </c>
      <c r="J759" t="s">
        <v>79</v>
      </c>
      <c r="K759" t="s">
        <v>2599</v>
      </c>
      <c r="L759" t="s">
        <v>62</v>
      </c>
      <c r="M759" t="s">
        <v>85</v>
      </c>
      <c r="N759">
        <v>5</v>
      </c>
      <c r="O759" t="s">
        <v>22</v>
      </c>
      <c r="P759">
        <v>2328.6999999999998</v>
      </c>
      <c r="Q759" t="s">
        <v>74</v>
      </c>
      <c r="R759" t="s">
        <v>24</v>
      </c>
      <c r="S759">
        <v>226001</v>
      </c>
      <c r="T759" t="s">
        <v>25</v>
      </c>
      <c r="U759" t="s">
        <v>26</v>
      </c>
    </row>
    <row r="760" spans="1:21" x14ac:dyDescent="0.3">
      <c r="A760">
        <v>759</v>
      </c>
      <c r="B760" t="s">
        <v>2600</v>
      </c>
      <c r="C760" t="s">
        <v>2601</v>
      </c>
      <c r="D760" t="s">
        <v>29</v>
      </c>
      <c r="E760">
        <v>46</v>
      </c>
      <c r="F760" t="str">
        <f t="shared" si="22"/>
        <v>Adult</v>
      </c>
      <c r="G760" t="s">
        <v>1843</v>
      </c>
      <c r="H760" t="str">
        <f t="shared" si="23"/>
        <v>Aug</v>
      </c>
      <c r="I760" t="s">
        <v>60</v>
      </c>
      <c r="J760" t="s">
        <v>79</v>
      </c>
      <c r="K760" t="s">
        <v>2602</v>
      </c>
      <c r="L760" t="s">
        <v>33</v>
      </c>
      <c r="M760" t="s">
        <v>85</v>
      </c>
      <c r="N760">
        <v>3</v>
      </c>
      <c r="O760" t="s">
        <v>22</v>
      </c>
      <c r="P760">
        <v>4104.03</v>
      </c>
      <c r="Q760" t="s">
        <v>74</v>
      </c>
      <c r="R760" t="s">
        <v>24</v>
      </c>
      <c r="S760">
        <v>226001</v>
      </c>
      <c r="T760" t="s">
        <v>25</v>
      </c>
      <c r="U760" t="s">
        <v>26</v>
      </c>
    </row>
    <row r="761" spans="1:21" x14ac:dyDescent="0.3">
      <c r="A761">
        <v>760</v>
      </c>
      <c r="B761" t="s">
        <v>2603</v>
      </c>
      <c r="C761" t="s">
        <v>2604</v>
      </c>
      <c r="D761" t="s">
        <v>15</v>
      </c>
      <c r="E761">
        <v>23</v>
      </c>
      <c r="F761" t="str">
        <f t="shared" si="22"/>
        <v>Teenager</v>
      </c>
      <c r="G761" t="s">
        <v>415</v>
      </c>
      <c r="H761" t="str">
        <f t="shared" si="23"/>
        <v>Aug</v>
      </c>
      <c r="I761" t="s">
        <v>60</v>
      </c>
      <c r="J761" t="s">
        <v>79</v>
      </c>
      <c r="K761" t="s">
        <v>2605</v>
      </c>
      <c r="L761" t="s">
        <v>62</v>
      </c>
      <c r="M761" t="s">
        <v>21</v>
      </c>
      <c r="N761">
        <v>4</v>
      </c>
      <c r="O761" t="s">
        <v>22</v>
      </c>
      <c r="P761">
        <v>4335.63</v>
      </c>
      <c r="Q761" t="s">
        <v>42</v>
      </c>
      <c r="R761" t="s">
        <v>24</v>
      </c>
      <c r="S761">
        <v>302001</v>
      </c>
      <c r="T761" t="s">
        <v>25</v>
      </c>
      <c r="U761" t="s">
        <v>44</v>
      </c>
    </row>
    <row r="762" spans="1:21" x14ac:dyDescent="0.3">
      <c r="A762">
        <v>761</v>
      </c>
      <c r="B762" t="s">
        <v>2606</v>
      </c>
      <c r="C762" t="s">
        <v>2607</v>
      </c>
      <c r="D762" t="s">
        <v>29</v>
      </c>
      <c r="E762">
        <v>58</v>
      </c>
      <c r="F762" t="str">
        <f t="shared" si="22"/>
        <v>Senior</v>
      </c>
      <c r="G762" t="s">
        <v>2608</v>
      </c>
      <c r="H762" t="str">
        <f t="shared" si="23"/>
        <v>Jul</v>
      </c>
      <c r="I762" t="s">
        <v>60</v>
      </c>
      <c r="J762" t="s">
        <v>79</v>
      </c>
      <c r="K762" t="s">
        <v>2609</v>
      </c>
      <c r="L762" t="s">
        <v>33</v>
      </c>
      <c r="M762" t="s">
        <v>85</v>
      </c>
      <c r="N762">
        <v>3</v>
      </c>
      <c r="O762" t="s">
        <v>22</v>
      </c>
      <c r="P762">
        <v>3133.36</v>
      </c>
      <c r="Q762" t="s">
        <v>23</v>
      </c>
      <c r="R762" t="s">
        <v>24</v>
      </c>
      <c r="S762">
        <v>400001</v>
      </c>
      <c r="T762" t="s">
        <v>25</v>
      </c>
      <c r="U762" t="s">
        <v>44</v>
      </c>
    </row>
    <row r="763" spans="1:21" x14ac:dyDescent="0.3">
      <c r="A763">
        <v>762</v>
      </c>
      <c r="B763" t="s">
        <v>2610</v>
      </c>
      <c r="C763" t="s">
        <v>2611</v>
      </c>
      <c r="D763" t="s">
        <v>29</v>
      </c>
      <c r="E763">
        <v>59</v>
      </c>
      <c r="F763" t="str">
        <f t="shared" si="22"/>
        <v>Senior</v>
      </c>
      <c r="G763" t="s">
        <v>1290</v>
      </c>
      <c r="H763" t="str">
        <f t="shared" si="23"/>
        <v>Feb</v>
      </c>
      <c r="I763" t="s">
        <v>60</v>
      </c>
      <c r="J763" t="s">
        <v>79</v>
      </c>
      <c r="K763" t="s">
        <v>2612</v>
      </c>
      <c r="L763" t="s">
        <v>62</v>
      </c>
      <c r="M763" t="s">
        <v>50</v>
      </c>
      <c r="N763">
        <v>1</v>
      </c>
      <c r="O763" t="s">
        <v>22</v>
      </c>
      <c r="P763">
        <v>335.06</v>
      </c>
      <c r="Q763" t="s">
        <v>23</v>
      </c>
      <c r="R763" t="s">
        <v>24</v>
      </c>
      <c r="S763">
        <v>400001</v>
      </c>
      <c r="T763" t="s">
        <v>25</v>
      </c>
      <c r="U763" t="s">
        <v>26</v>
      </c>
    </row>
    <row r="764" spans="1:21" x14ac:dyDescent="0.3">
      <c r="A764">
        <v>763</v>
      </c>
      <c r="B764" t="s">
        <v>2613</v>
      </c>
      <c r="C764" t="s">
        <v>2614</v>
      </c>
      <c r="D764" t="s">
        <v>29</v>
      </c>
      <c r="E764">
        <v>34</v>
      </c>
      <c r="F764" t="str">
        <f t="shared" si="22"/>
        <v>Adult</v>
      </c>
      <c r="G764" t="s">
        <v>1703</v>
      </c>
      <c r="H764" t="str">
        <f t="shared" si="23"/>
        <v>Nov</v>
      </c>
      <c r="I764" t="s">
        <v>60</v>
      </c>
      <c r="J764" t="s">
        <v>79</v>
      </c>
      <c r="K764" t="s">
        <v>2615</v>
      </c>
      <c r="L764" t="s">
        <v>107</v>
      </c>
      <c r="M764" t="s">
        <v>85</v>
      </c>
      <c r="N764">
        <v>1</v>
      </c>
      <c r="O764" t="s">
        <v>22</v>
      </c>
      <c r="P764">
        <v>2182.4299999999998</v>
      </c>
      <c r="Q764" t="s">
        <v>42</v>
      </c>
      <c r="R764" t="s">
        <v>24</v>
      </c>
      <c r="S764">
        <v>302001</v>
      </c>
      <c r="T764" t="s">
        <v>25</v>
      </c>
      <c r="U764" t="s">
        <v>44</v>
      </c>
    </row>
    <row r="765" spans="1:21" x14ac:dyDescent="0.3">
      <c r="A765">
        <v>764</v>
      </c>
      <c r="B765" t="s">
        <v>2616</v>
      </c>
      <c r="C765" t="s">
        <v>2617</v>
      </c>
      <c r="D765" t="s">
        <v>15</v>
      </c>
      <c r="E765">
        <v>28</v>
      </c>
      <c r="F765" t="str">
        <f t="shared" si="22"/>
        <v>Teenager</v>
      </c>
      <c r="G765" t="s">
        <v>1217</v>
      </c>
      <c r="H765" t="str">
        <f t="shared" si="23"/>
        <v>Nov</v>
      </c>
      <c r="I765" t="s">
        <v>60</v>
      </c>
      <c r="J765" t="s">
        <v>79</v>
      </c>
      <c r="K765" t="s">
        <v>2618</v>
      </c>
      <c r="L765" t="s">
        <v>107</v>
      </c>
      <c r="M765" t="s">
        <v>21</v>
      </c>
      <c r="N765">
        <v>5</v>
      </c>
      <c r="O765" t="s">
        <v>22</v>
      </c>
      <c r="P765">
        <v>2514.3000000000002</v>
      </c>
      <c r="Q765" t="s">
        <v>42</v>
      </c>
      <c r="R765" t="s">
        <v>24</v>
      </c>
      <c r="S765">
        <v>302001</v>
      </c>
      <c r="T765" t="s">
        <v>25</v>
      </c>
      <c r="U765" t="s">
        <v>44</v>
      </c>
    </row>
    <row r="766" spans="1:21" x14ac:dyDescent="0.3">
      <c r="A766">
        <v>765</v>
      </c>
      <c r="B766" t="s">
        <v>2619</v>
      </c>
      <c r="C766" t="s">
        <v>2620</v>
      </c>
      <c r="D766" t="s">
        <v>29</v>
      </c>
      <c r="E766">
        <v>41</v>
      </c>
      <c r="F766" t="str">
        <f t="shared" si="22"/>
        <v>Adult</v>
      </c>
      <c r="G766" t="s">
        <v>939</v>
      </c>
      <c r="H766" t="str">
        <f t="shared" si="23"/>
        <v>Aug</v>
      </c>
      <c r="I766" t="s">
        <v>60</v>
      </c>
      <c r="J766" t="s">
        <v>79</v>
      </c>
      <c r="K766" t="s">
        <v>2621</v>
      </c>
      <c r="L766" t="s">
        <v>73</v>
      </c>
      <c r="M766" t="s">
        <v>21</v>
      </c>
      <c r="N766">
        <v>1</v>
      </c>
      <c r="O766" t="s">
        <v>22</v>
      </c>
      <c r="P766">
        <v>3713.41</v>
      </c>
      <c r="Q766" t="s">
        <v>23</v>
      </c>
      <c r="R766" t="s">
        <v>24</v>
      </c>
      <c r="S766">
        <v>400001</v>
      </c>
      <c r="T766" t="s">
        <v>25</v>
      </c>
      <c r="U766" t="s">
        <v>26</v>
      </c>
    </row>
    <row r="767" spans="1:21" x14ac:dyDescent="0.3">
      <c r="A767">
        <v>766</v>
      </c>
      <c r="B767" t="s">
        <v>2622</v>
      </c>
      <c r="C767" t="s">
        <v>2623</v>
      </c>
      <c r="D767" t="s">
        <v>15</v>
      </c>
      <c r="E767">
        <v>39</v>
      </c>
      <c r="F767" t="str">
        <f t="shared" si="22"/>
        <v>Adult</v>
      </c>
      <c r="G767" t="s">
        <v>207</v>
      </c>
      <c r="H767" t="str">
        <f t="shared" si="23"/>
        <v>Jan</v>
      </c>
      <c r="I767" t="s">
        <v>60</v>
      </c>
      <c r="J767" t="s">
        <v>79</v>
      </c>
      <c r="K767" t="s">
        <v>2624</v>
      </c>
      <c r="L767" t="s">
        <v>73</v>
      </c>
      <c r="M767" t="s">
        <v>34</v>
      </c>
      <c r="N767">
        <v>2</v>
      </c>
      <c r="O767" t="s">
        <v>22</v>
      </c>
      <c r="P767">
        <v>1169.0999999999999</v>
      </c>
      <c r="Q767" t="s">
        <v>23</v>
      </c>
      <c r="R767" t="s">
        <v>24</v>
      </c>
      <c r="S767">
        <v>400001</v>
      </c>
      <c r="T767" t="s">
        <v>25</v>
      </c>
      <c r="U767" t="s">
        <v>26</v>
      </c>
    </row>
    <row r="768" spans="1:21" x14ac:dyDescent="0.3">
      <c r="A768">
        <v>767</v>
      </c>
      <c r="B768" t="s">
        <v>2625</v>
      </c>
      <c r="C768" t="s">
        <v>2626</v>
      </c>
      <c r="D768" t="s">
        <v>29</v>
      </c>
      <c r="E768">
        <v>24</v>
      </c>
      <c r="F768" t="str">
        <f t="shared" si="22"/>
        <v>Teenager</v>
      </c>
      <c r="G768" t="s">
        <v>2053</v>
      </c>
      <c r="H768" t="str">
        <f t="shared" si="23"/>
        <v>Jul</v>
      </c>
      <c r="I768" t="s">
        <v>60</v>
      </c>
      <c r="J768" t="s">
        <v>79</v>
      </c>
      <c r="K768" t="s">
        <v>2627</v>
      </c>
      <c r="L768" t="s">
        <v>56</v>
      </c>
      <c r="M768" t="s">
        <v>50</v>
      </c>
      <c r="N768">
        <v>1</v>
      </c>
      <c r="O768" t="s">
        <v>22</v>
      </c>
      <c r="P768">
        <v>934.72</v>
      </c>
      <c r="Q768" t="s">
        <v>74</v>
      </c>
      <c r="R768" t="s">
        <v>24</v>
      </c>
      <c r="S768">
        <v>226001</v>
      </c>
      <c r="T768" t="s">
        <v>25</v>
      </c>
      <c r="U768" t="s">
        <v>26</v>
      </c>
    </row>
    <row r="769" spans="1:21" x14ac:dyDescent="0.3">
      <c r="A769">
        <v>768</v>
      </c>
      <c r="B769" t="s">
        <v>2628</v>
      </c>
      <c r="C769" t="s">
        <v>2629</v>
      </c>
      <c r="D769" t="s">
        <v>29</v>
      </c>
      <c r="E769">
        <v>23</v>
      </c>
      <c r="F769" t="str">
        <f t="shared" si="22"/>
        <v>Teenager</v>
      </c>
      <c r="G769" t="s">
        <v>386</v>
      </c>
      <c r="H769" t="str">
        <f t="shared" si="23"/>
        <v>May</v>
      </c>
      <c r="I769" t="s">
        <v>60</v>
      </c>
      <c r="J769" t="s">
        <v>79</v>
      </c>
      <c r="K769" t="s">
        <v>2630</v>
      </c>
      <c r="L769" t="s">
        <v>33</v>
      </c>
      <c r="M769" t="s">
        <v>34</v>
      </c>
      <c r="N769">
        <v>1</v>
      </c>
      <c r="O769" t="s">
        <v>22</v>
      </c>
      <c r="P769">
        <v>3067.18</v>
      </c>
      <c r="Q769" t="s">
        <v>51</v>
      </c>
      <c r="R769" t="s">
        <v>51</v>
      </c>
      <c r="S769">
        <v>110001</v>
      </c>
      <c r="T769" t="s">
        <v>25</v>
      </c>
      <c r="U769" t="s">
        <v>26</v>
      </c>
    </row>
    <row r="770" spans="1:21" x14ac:dyDescent="0.3">
      <c r="A770">
        <v>769</v>
      </c>
      <c r="B770" t="s">
        <v>2631</v>
      </c>
      <c r="C770" t="s">
        <v>2632</v>
      </c>
      <c r="D770" t="s">
        <v>15</v>
      </c>
      <c r="E770">
        <v>54</v>
      </c>
      <c r="F770" t="str">
        <f t="shared" si="22"/>
        <v>Senior</v>
      </c>
      <c r="G770" t="s">
        <v>2633</v>
      </c>
      <c r="H770" t="str">
        <f t="shared" si="23"/>
        <v>Jul</v>
      </c>
      <c r="I770" t="s">
        <v>17</v>
      </c>
      <c r="J770" t="s">
        <v>79</v>
      </c>
      <c r="K770" t="s">
        <v>2634</v>
      </c>
      <c r="L770" t="s">
        <v>62</v>
      </c>
      <c r="M770" t="s">
        <v>21</v>
      </c>
      <c r="N770">
        <v>5</v>
      </c>
      <c r="O770" t="s">
        <v>22</v>
      </c>
      <c r="P770">
        <v>4086.74</v>
      </c>
      <c r="Q770" t="s">
        <v>74</v>
      </c>
      <c r="R770" t="s">
        <v>75</v>
      </c>
      <c r="S770">
        <v>226001</v>
      </c>
      <c r="T770" t="s">
        <v>25</v>
      </c>
      <c r="U770" t="s">
        <v>26</v>
      </c>
    </row>
    <row r="771" spans="1:21" x14ac:dyDescent="0.3">
      <c r="A771">
        <v>770</v>
      </c>
      <c r="B771" t="s">
        <v>2635</v>
      </c>
      <c r="C771" t="s">
        <v>2636</v>
      </c>
      <c r="D771" t="s">
        <v>29</v>
      </c>
      <c r="E771">
        <v>41</v>
      </c>
      <c r="F771" t="str">
        <f t="shared" ref="F771:F834" si="24">IF(E771&gt;=50,"Senior", IF(E771&gt;=30, "Adult","Teenager"))</f>
        <v>Adult</v>
      </c>
      <c r="G771" t="s">
        <v>950</v>
      </c>
      <c r="H771" t="str">
        <f t="shared" ref="H771:H834" si="25">TEXT(G771,"MMM")</f>
        <v>Oct</v>
      </c>
      <c r="I771" t="s">
        <v>60</v>
      </c>
      <c r="J771" t="s">
        <v>79</v>
      </c>
      <c r="K771" t="s">
        <v>2637</v>
      </c>
      <c r="L771" t="s">
        <v>73</v>
      </c>
      <c r="M771" t="s">
        <v>34</v>
      </c>
      <c r="N771">
        <v>2</v>
      </c>
      <c r="O771" t="s">
        <v>22</v>
      </c>
      <c r="P771">
        <v>2505.2399999999998</v>
      </c>
      <c r="Q771" t="s">
        <v>74</v>
      </c>
      <c r="R771" t="s">
        <v>75</v>
      </c>
      <c r="S771">
        <v>226001</v>
      </c>
      <c r="T771" t="s">
        <v>25</v>
      </c>
      <c r="U771" t="s">
        <v>44</v>
      </c>
    </row>
    <row r="772" spans="1:21" x14ac:dyDescent="0.3">
      <c r="A772">
        <v>771</v>
      </c>
      <c r="B772" t="s">
        <v>2638</v>
      </c>
      <c r="C772" t="s">
        <v>2639</v>
      </c>
      <c r="D772" t="s">
        <v>15</v>
      </c>
      <c r="E772">
        <v>29</v>
      </c>
      <c r="F772" t="str">
        <f t="shared" si="24"/>
        <v>Teenager</v>
      </c>
      <c r="G772" t="s">
        <v>2331</v>
      </c>
      <c r="H772" t="str">
        <f t="shared" si="25"/>
        <v>Feb</v>
      </c>
      <c r="I772" t="s">
        <v>70</v>
      </c>
      <c r="J772" t="s">
        <v>79</v>
      </c>
      <c r="K772" t="s">
        <v>2640</v>
      </c>
      <c r="L772" t="s">
        <v>73</v>
      </c>
      <c r="M772" t="s">
        <v>50</v>
      </c>
      <c r="N772">
        <v>1</v>
      </c>
      <c r="O772" t="s">
        <v>22</v>
      </c>
      <c r="P772">
        <v>1227.22</v>
      </c>
      <c r="Q772" t="s">
        <v>35</v>
      </c>
      <c r="R772" t="s">
        <v>36</v>
      </c>
      <c r="S772">
        <v>560001</v>
      </c>
      <c r="T772" t="s">
        <v>25</v>
      </c>
      <c r="U772" t="s">
        <v>44</v>
      </c>
    </row>
    <row r="773" spans="1:21" x14ac:dyDescent="0.3">
      <c r="A773">
        <v>772</v>
      </c>
      <c r="B773" t="s">
        <v>2641</v>
      </c>
      <c r="C773" t="s">
        <v>2642</v>
      </c>
      <c r="D773" t="s">
        <v>15</v>
      </c>
      <c r="E773">
        <v>35</v>
      </c>
      <c r="F773" t="str">
        <f t="shared" si="24"/>
        <v>Adult</v>
      </c>
      <c r="G773" t="s">
        <v>167</v>
      </c>
      <c r="H773" t="str">
        <f t="shared" si="25"/>
        <v>Jan</v>
      </c>
      <c r="I773" t="s">
        <v>70</v>
      </c>
      <c r="J773" t="s">
        <v>79</v>
      </c>
      <c r="K773" t="s">
        <v>2643</v>
      </c>
      <c r="L773" t="s">
        <v>33</v>
      </c>
      <c r="M773" t="s">
        <v>21</v>
      </c>
      <c r="N773">
        <v>2</v>
      </c>
      <c r="O773" t="s">
        <v>22</v>
      </c>
      <c r="P773">
        <v>3601.31</v>
      </c>
      <c r="Q773" t="s">
        <v>42</v>
      </c>
      <c r="R773" t="s">
        <v>43</v>
      </c>
      <c r="S773">
        <v>302001</v>
      </c>
      <c r="T773" t="s">
        <v>25</v>
      </c>
      <c r="U773" t="s">
        <v>26</v>
      </c>
    </row>
    <row r="774" spans="1:21" x14ac:dyDescent="0.3">
      <c r="A774">
        <v>773</v>
      </c>
      <c r="B774" t="s">
        <v>2644</v>
      </c>
      <c r="C774" t="s">
        <v>1449</v>
      </c>
      <c r="D774" t="s">
        <v>15</v>
      </c>
      <c r="E774">
        <v>57</v>
      </c>
      <c r="F774" t="str">
        <f t="shared" si="24"/>
        <v>Senior</v>
      </c>
      <c r="G774" t="s">
        <v>1340</v>
      </c>
      <c r="H774" t="str">
        <f t="shared" si="25"/>
        <v>Dec</v>
      </c>
      <c r="I774" t="s">
        <v>17</v>
      </c>
      <c r="J774" t="s">
        <v>79</v>
      </c>
      <c r="K774" t="s">
        <v>2645</v>
      </c>
      <c r="L774" t="s">
        <v>107</v>
      </c>
      <c r="M774" t="s">
        <v>50</v>
      </c>
      <c r="N774">
        <v>5</v>
      </c>
      <c r="O774" t="s">
        <v>22</v>
      </c>
      <c r="P774">
        <v>718.31</v>
      </c>
      <c r="Q774" t="s">
        <v>74</v>
      </c>
      <c r="R774" t="s">
        <v>75</v>
      </c>
      <c r="S774">
        <v>226001</v>
      </c>
      <c r="T774" t="s">
        <v>25</v>
      </c>
      <c r="U774" t="s">
        <v>26</v>
      </c>
    </row>
    <row r="775" spans="1:21" x14ac:dyDescent="0.3">
      <c r="A775">
        <v>774</v>
      </c>
      <c r="B775" t="s">
        <v>2646</v>
      </c>
      <c r="C775" t="s">
        <v>2647</v>
      </c>
      <c r="D775" t="s">
        <v>29</v>
      </c>
      <c r="E775">
        <v>45</v>
      </c>
      <c r="F775" t="str">
        <f t="shared" si="24"/>
        <v>Adult</v>
      </c>
      <c r="G775" t="s">
        <v>230</v>
      </c>
      <c r="H775" t="str">
        <f t="shared" si="25"/>
        <v>Jan</v>
      </c>
      <c r="I775" t="s">
        <v>70</v>
      </c>
      <c r="J775" t="s">
        <v>79</v>
      </c>
      <c r="K775" t="s">
        <v>2648</v>
      </c>
      <c r="L775" t="s">
        <v>62</v>
      </c>
      <c r="M775" t="s">
        <v>85</v>
      </c>
      <c r="N775">
        <v>1</v>
      </c>
      <c r="O775" t="s">
        <v>22</v>
      </c>
      <c r="P775">
        <v>404.65</v>
      </c>
      <c r="Q775" t="s">
        <v>51</v>
      </c>
      <c r="R775" t="s">
        <v>51</v>
      </c>
      <c r="S775">
        <v>110001</v>
      </c>
      <c r="T775" t="s">
        <v>25</v>
      </c>
      <c r="U775" t="s">
        <v>26</v>
      </c>
    </row>
    <row r="776" spans="1:21" x14ac:dyDescent="0.3">
      <c r="A776">
        <v>775</v>
      </c>
      <c r="B776" t="s">
        <v>2649</v>
      </c>
      <c r="C776" t="s">
        <v>2650</v>
      </c>
      <c r="D776" t="s">
        <v>29</v>
      </c>
      <c r="E776">
        <v>38</v>
      </c>
      <c r="F776" t="str">
        <f t="shared" si="24"/>
        <v>Adult</v>
      </c>
      <c r="G776" t="s">
        <v>1976</v>
      </c>
      <c r="H776" t="str">
        <f t="shared" si="25"/>
        <v>Sep</v>
      </c>
      <c r="I776" t="s">
        <v>48</v>
      </c>
      <c r="J776" t="s">
        <v>79</v>
      </c>
      <c r="K776" t="s">
        <v>2651</v>
      </c>
      <c r="L776" t="s">
        <v>33</v>
      </c>
      <c r="M776" t="s">
        <v>85</v>
      </c>
      <c r="N776">
        <v>3</v>
      </c>
      <c r="O776" t="s">
        <v>22</v>
      </c>
      <c r="P776">
        <v>4765.82</v>
      </c>
      <c r="Q776" t="s">
        <v>51</v>
      </c>
      <c r="R776" t="s">
        <v>51</v>
      </c>
      <c r="S776">
        <v>110001</v>
      </c>
      <c r="T776" t="s">
        <v>25</v>
      </c>
      <c r="U776" t="s">
        <v>44</v>
      </c>
    </row>
    <row r="777" spans="1:21" x14ac:dyDescent="0.3">
      <c r="A777">
        <v>776</v>
      </c>
      <c r="B777" t="s">
        <v>2652</v>
      </c>
      <c r="C777" t="s">
        <v>2653</v>
      </c>
      <c r="D777" t="s">
        <v>15</v>
      </c>
      <c r="E777">
        <v>22</v>
      </c>
      <c r="F777" t="str">
        <f t="shared" si="24"/>
        <v>Teenager</v>
      </c>
      <c r="G777" t="s">
        <v>207</v>
      </c>
      <c r="H777" t="str">
        <f t="shared" si="25"/>
        <v>Jan</v>
      </c>
      <c r="I777" t="s">
        <v>48</v>
      </c>
      <c r="J777" t="s">
        <v>79</v>
      </c>
      <c r="K777" t="s">
        <v>2654</v>
      </c>
      <c r="L777" t="s">
        <v>62</v>
      </c>
      <c r="M777" t="s">
        <v>34</v>
      </c>
      <c r="N777">
        <v>2</v>
      </c>
      <c r="O777" t="s">
        <v>22</v>
      </c>
      <c r="P777">
        <v>3689.26</v>
      </c>
      <c r="Q777" t="s">
        <v>74</v>
      </c>
      <c r="R777" t="s">
        <v>75</v>
      </c>
      <c r="S777">
        <v>226001</v>
      </c>
      <c r="T777" t="s">
        <v>25</v>
      </c>
      <c r="U777" t="s">
        <v>44</v>
      </c>
    </row>
    <row r="778" spans="1:21" x14ac:dyDescent="0.3">
      <c r="A778">
        <v>777</v>
      </c>
      <c r="B778" t="s">
        <v>2655</v>
      </c>
      <c r="C778" t="s">
        <v>927</v>
      </c>
      <c r="D778" t="s">
        <v>15</v>
      </c>
      <c r="E778">
        <v>37</v>
      </c>
      <c r="F778" t="str">
        <f t="shared" si="24"/>
        <v>Adult</v>
      </c>
      <c r="G778" t="s">
        <v>2656</v>
      </c>
      <c r="H778" t="str">
        <f t="shared" si="25"/>
        <v>Mar</v>
      </c>
      <c r="I778" t="s">
        <v>48</v>
      </c>
      <c r="J778" t="s">
        <v>79</v>
      </c>
      <c r="K778" t="s">
        <v>2657</v>
      </c>
      <c r="L778" t="s">
        <v>33</v>
      </c>
      <c r="M778" t="s">
        <v>85</v>
      </c>
      <c r="N778">
        <v>2</v>
      </c>
      <c r="O778" t="s">
        <v>22</v>
      </c>
      <c r="P778">
        <v>1132.93</v>
      </c>
      <c r="Q778" t="s">
        <v>23</v>
      </c>
      <c r="R778" t="s">
        <v>24</v>
      </c>
      <c r="S778">
        <v>400001</v>
      </c>
      <c r="T778" t="s">
        <v>25</v>
      </c>
      <c r="U778" t="s">
        <v>44</v>
      </c>
    </row>
    <row r="779" spans="1:21" x14ac:dyDescent="0.3">
      <c r="A779">
        <v>778</v>
      </c>
      <c r="B779" t="s">
        <v>2658</v>
      </c>
      <c r="C779" t="s">
        <v>2659</v>
      </c>
      <c r="D779" t="s">
        <v>15</v>
      </c>
      <c r="E779">
        <v>29</v>
      </c>
      <c r="F779" t="str">
        <f t="shared" si="24"/>
        <v>Teenager</v>
      </c>
      <c r="G779" t="s">
        <v>1512</v>
      </c>
      <c r="H779" t="str">
        <f t="shared" si="25"/>
        <v>Jun</v>
      </c>
      <c r="I779" t="s">
        <v>60</v>
      </c>
      <c r="J779" t="s">
        <v>79</v>
      </c>
      <c r="K779" t="s">
        <v>2660</v>
      </c>
      <c r="L779" t="s">
        <v>20</v>
      </c>
      <c r="M779" t="s">
        <v>34</v>
      </c>
      <c r="N779">
        <v>5</v>
      </c>
      <c r="O779" t="s">
        <v>22</v>
      </c>
      <c r="P779">
        <v>1723.37</v>
      </c>
      <c r="Q779" t="s">
        <v>74</v>
      </c>
      <c r="R779" t="s">
        <v>75</v>
      </c>
      <c r="S779">
        <v>226001</v>
      </c>
      <c r="T779" t="s">
        <v>25</v>
      </c>
      <c r="U779" t="s">
        <v>44</v>
      </c>
    </row>
    <row r="780" spans="1:21" x14ac:dyDescent="0.3">
      <c r="A780">
        <v>779</v>
      </c>
      <c r="B780" t="s">
        <v>2661</v>
      </c>
      <c r="C780" t="s">
        <v>2662</v>
      </c>
      <c r="D780" t="s">
        <v>15</v>
      </c>
      <c r="E780">
        <v>37</v>
      </c>
      <c r="F780" t="str">
        <f t="shared" si="24"/>
        <v>Adult</v>
      </c>
      <c r="G780" t="s">
        <v>2084</v>
      </c>
      <c r="H780" t="str">
        <f t="shared" si="25"/>
        <v>Jun</v>
      </c>
      <c r="I780" t="s">
        <v>17</v>
      </c>
      <c r="J780" t="s">
        <v>79</v>
      </c>
      <c r="K780" t="s">
        <v>2663</v>
      </c>
      <c r="L780" t="s">
        <v>20</v>
      </c>
      <c r="M780" t="s">
        <v>50</v>
      </c>
      <c r="N780">
        <v>4</v>
      </c>
      <c r="O780" t="s">
        <v>22</v>
      </c>
      <c r="P780">
        <v>4495.49</v>
      </c>
      <c r="Q780" t="s">
        <v>42</v>
      </c>
      <c r="R780" t="s">
        <v>43</v>
      </c>
      <c r="S780">
        <v>302001</v>
      </c>
      <c r="T780" t="s">
        <v>25</v>
      </c>
      <c r="U780" t="s">
        <v>44</v>
      </c>
    </row>
    <row r="781" spans="1:21" x14ac:dyDescent="0.3">
      <c r="A781">
        <v>780</v>
      </c>
      <c r="B781" t="s">
        <v>2664</v>
      </c>
      <c r="C781" t="s">
        <v>2665</v>
      </c>
      <c r="D781" t="s">
        <v>29</v>
      </c>
      <c r="E781">
        <v>33</v>
      </c>
      <c r="F781" t="str">
        <f t="shared" si="24"/>
        <v>Adult</v>
      </c>
      <c r="G781" t="s">
        <v>1213</v>
      </c>
      <c r="H781" t="str">
        <f t="shared" si="25"/>
        <v>Jun</v>
      </c>
      <c r="I781" t="s">
        <v>70</v>
      </c>
      <c r="J781" t="s">
        <v>79</v>
      </c>
      <c r="K781" t="s">
        <v>2666</v>
      </c>
      <c r="L781" t="s">
        <v>107</v>
      </c>
      <c r="M781" t="s">
        <v>21</v>
      </c>
      <c r="N781">
        <v>5</v>
      </c>
      <c r="O781" t="s">
        <v>22</v>
      </c>
      <c r="P781">
        <v>3443.43</v>
      </c>
      <c r="Q781" t="s">
        <v>23</v>
      </c>
      <c r="R781" t="s">
        <v>24</v>
      </c>
      <c r="S781">
        <v>400001</v>
      </c>
      <c r="T781" t="s">
        <v>25</v>
      </c>
      <c r="U781" t="s">
        <v>44</v>
      </c>
    </row>
    <row r="782" spans="1:21" x14ac:dyDescent="0.3">
      <c r="A782">
        <v>781</v>
      </c>
      <c r="B782" t="s">
        <v>2667</v>
      </c>
      <c r="C782" t="s">
        <v>2668</v>
      </c>
      <c r="D782" t="s">
        <v>29</v>
      </c>
      <c r="E782">
        <v>25</v>
      </c>
      <c r="F782" t="str">
        <f t="shared" si="24"/>
        <v>Teenager</v>
      </c>
      <c r="G782" t="s">
        <v>1185</v>
      </c>
      <c r="H782" t="str">
        <f t="shared" si="25"/>
        <v>Nov</v>
      </c>
      <c r="I782" t="s">
        <v>60</v>
      </c>
      <c r="J782" t="s">
        <v>79</v>
      </c>
      <c r="K782" t="s">
        <v>2669</v>
      </c>
      <c r="L782" t="s">
        <v>33</v>
      </c>
      <c r="M782" t="s">
        <v>21</v>
      </c>
      <c r="N782">
        <v>1</v>
      </c>
      <c r="O782" t="s">
        <v>22</v>
      </c>
      <c r="P782">
        <v>1607.88</v>
      </c>
      <c r="Q782" t="s">
        <v>23</v>
      </c>
      <c r="R782" t="s">
        <v>24</v>
      </c>
      <c r="S782">
        <v>400001</v>
      </c>
      <c r="T782" t="s">
        <v>25</v>
      </c>
      <c r="U782" t="s">
        <v>44</v>
      </c>
    </row>
    <row r="783" spans="1:21" x14ac:dyDescent="0.3">
      <c r="A783">
        <v>782</v>
      </c>
      <c r="B783" t="s">
        <v>2670</v>
      </c>
      <c r="C783" t="s">
        <v>2671</v>
      </c>
      <c r="D783" t="s">
        <v>29</v>
      </c>
      <c r="E783">
        <v>58</v>
      </c>
      <c r="F783" t="str">
        <f t="shared" si="24"/>
        <v>Senior</v>
      </c>
      <c r="G783" t="s">
        <v>802</v>
      </c>
      <c r="H783" t="str">
        <f t="shared" si="25"/>
        <v>Oct</v>
      </c>
      <c r="I783" t="s">
        <v>70</v>
      </c>
      <c r="J783" t="s">
        <v>79</v>
      </c>
      <c r="K783" t="s">
        <v>2672</v>
      </c>
      <c r="L783" t="s">
        <v>73</v>
      </c>
      <c r="M783" t="s">
        <v>85</v>
      </c>
      <c r="N783">
        <v>2</v>
      </c>
      <c r="O783" t="s">
        <v>22</v>
      </c>
      <c r="P783">
        <v>2135.9499999999998</v>
      </c>
      <c r="Q783" t="s">
        <v>23</v>
      </c>
      <c r="R783" t="s">
        <v>24</v>
      </c>
      <c r="S783">
        <v>400001</v>
      </c>
      <c r="T783" t="s">
        <v>25</v>
      </c>
      <c r="U783" t="s">
        <v>26</v>
      </c>
    </row>
    <row r="784" spans="1:21" x14ac:dyDescent="0.3">
      <c r="A784">
        <v>783</v>
      </c>
      <c r="B784" t="s">
        <v>2673</v>
      </c>
      <c r="C784" t="s">
        <v>2674</v>
      </c>
      <c r="D784" t="s">
        <v>29</v>
      </c>
      <c r="E784">
        <v>18</v>
      </c>
      <c r="F784" t="str">
        <f t="shared" si="24"/>
        <v>Teenager</v>
      </c>
      <c r="G784" t="s">
        <v>757</v>
      </c>
      <c r="H784" t="str">
        <f t="shared" si="25"/>
        <v>Dec</v>
      </c>
      <c r="I784" t="s">
        <v>17</v>
      </c>
      <c r="J784" t="s">
        <v>79</v>
      </c>
      <c r="K784" t="s">
        <v>2675</v>
      </c>
      <c r="L784" t="s">
        <v>62</v>
      </c>
      <c r="M784" t="s">
        <v>50</v>
      </c>
      <c r="N784">
        <v>4</v>
      </c>
      <c r="O784" t="s">
        <v>22</v>
      </c>
      <c r="P784">
        <v>4717.6400000000003</v>
      </c>
      <c r="Q784" t="s">
        <v>35</v>
      </c>
      <c r="R784" t="s">
        <v>36</v>
      </c>
      <c r="S784">
        <v>560001</v>
      </c>
      <c r="T784" t="s">
        <v>25</v>
      </c>
      <c r="U784" t="s">
        <v>44</v>
      </c>
    </row>
    <row r="785" spans="1:21" x14ac:dyDescent="0.3">
      <c r="A785">
        <v>784</v>
      </c>
      <c r="B785" t="s">
        <v>2676</v>
      </c>
      <c r="C785" t="s">
        <v>2677</v>
      </c>
      <c r="D785" t="s">
        <v>15</v>
      </c>
      <c r="E785">
        <v>38</v>
      </c>
      <c r="F785" t="str">
        <f t="shared" si="24"/>
        <v>Adult</v>
      </c>
      <c r="G785" t="s">
        <v>328</v>
      </c>
      <c r="H785" t="str">
        <f t="shared" si="25"/>
        <v>Mar</v>
      </c>
      <c r="I785" t="s">
        <v>60</v>
      </c>
      <c r="J785" t="s">
        <v>79</v>
      </c>
      <c r="K785" t="s">
        <v>2678</v>
      </c>
      <c r="L785" t="s">
        <v>62</v>
      </c>
      <c r="M785" t="s">
        <v>85</v>
      </c>
      <c r="N785">
        <v>1</v>
      </c>
      <c r="O785" t="s">
        <v>22</v>
      </c>
      <c r="P785">
        <v>1818.76</v>
      </c>
      <c r="Q785" t="s">
        <v>35</v>
      </c>
      <c r="R785" t="s">
        <v>36</v>
      </c>
      <c r="S785">
        <v>560001</v>
      </c>
      <c r="T785" t="s">
        <v>25</v>
      </c>
      <c r="U785" t="s">
        <v>44</v>
      </c>
    </row>
    <row r="786" spans="1:21" x14ac:dyDescent="0.3">
      <c r="A786">
        <v>785</v>
      </c>
      <c r="B786" t="s">
        <v>2679</v>
      </c>
      <c r="C786" t="s">
        <v>2680</v>
      </c>
      <c r="D786" t="s">
        <v>15</v>
      </c>
      <c r="E786">
        <v>28</v>
      </c>
      <c r="F786" t="str">
        <f t="shared" si="24"/>
        <v>Teenager</v>
      </c>
      <c r="G786" t="s">
        <v>2045</v>
      </c>
      <c r="H786" t="str">
        <f t="shared" si="25"/>
        <v>Apr</v>
      </c>
      <c r="I786" t="s">
        <v>48</v>
      </c>
      <c r="J786" t="s">
        <v>79</v>
      </c>
      <c r="K786" t="s">
        <v>2681</v>
      </c>
      <c r="L786" t="s">
        <v>56</v>
      </c>
      <c r="M786" t="s">
        <v>21</v>
      </c>
      <c r="N786">
        <v>2</v>
      </c>
      <c r="O786" t="s">
        <v>22</v>
      </c>
      <c r="P786">
        <v>2019.14</v>
      </c>
      <c r="Q786" t="s">
        <v>42</v>
      </c>
      <c r="R786" t="s">
        <v>43</v>
      </c>
      <c r="S786">
        <v>302001</v>
      </c>
      <c r="T786" t="s">
        <v>25</v>
      </c>
      <c r="U786" t="s">
        <v>44</v>
      </c>
    </row>
    <row r="787" spans="1:21" x14ac:dyDescent="0.3">
      <c r="A787">
        <v>786</v>
      </c>
      <c r="B787" t="s">
        <v>2682</v>
      </c>
      <c r="C787" t="s">
        <v>2683</v>
      </c>
      <c r="D787" t="s">
        <v>15</v>
      </c>
      <c r="E787">
        <v>19</v>
      </c>
      <c r="F787" t="str">
        <f t="shared" si="24"/>
        <v>Teenager</v>
      </c>
      <c r="G787" t="s">
        <v>603</v>
      </c>
      <c r="H787" t="str">
        <f t="shared" si="25"/>
        <v>Jun</v>
      </c>
      <c r="I787" t="s">
        <v>17</v>
      </c>
      <c r="J787" t="s">
        <v>79</v>
      </c>
      <c r="K787" t="s">
        <v>2684</v>
      </c>
      <c r="L787" t="s">
        <v>107</v>
      </c>
      <c r="M787" t="s">
        <v>50</v>
      </c>
      <c r="N787">
        <v>1</v>
      </c>
      <c r="O787" t="s">
        <v>22</v>
      </c>
      <c r="P787">
        <v>2372.19</v>
      </c>
      <c r="Q787" t="s">
        <v>35</v>
      </c>
      <c r="R787" t="s">
        <v>36</v>
      </c>
      <c r="S787">
        <v>560001</v>
      </c>
      <c r="T787" t="s">
        <v>25</v>
      </c>
      <c r="U787" t="s">
        <v>44</v>
      </c>
    </row>
    <row r="788" spans="1:21" x14ac:dyDescent="0.3">
      <c r="A788">
        <v>787</v>
      </c>
      <c r="B788" t="s">
        <v>2685</v>
      </c>
      <c r="C788" t="s">
        <v>2686</v>
      </c>
      <c r="D788" t="s">
        <v>15</v>
      </c>
      <c r="E788">
        <v>39</v>
      </c>
      <c r="F788" t="str">
        <f t="shared" si="24"/>
        <v>Adult</v>
      </c>
      <c r="G788" t="s">
        <v>39</v>
      </c>
      <c r="H788" t="str">
        <f t="shared" si="25"/>
        <v>Dec</v>
      </c>
      <c r="I788" t="s">
        <v>48</v>
      </c>
      <c r="J788" t="s">
        <v>79</v>
      </c>
      <c r="K788" t="s">
        <v>2687</v>
      </c>
      <c r="L788" t="s">
        <v>56</v>
      </c>
      <c r="M788" t="s">
        <v>21</v>
      </c>
      <c r="N788">
        <v>4</v>
      </c>
      <c r="O788" t="s">
        <v>22</v>
      </c>
      <c r="P788">
        <v>3722.53</v>
      </c>
      <c r="Q788" t="s">
        <v>51</v>
      </c>
      <c r="R788" t="s">
        <v>51</v>
      </c>
      <c r="S788">
        <v>110001</v>
      </c>
      <c r="T788" t="s">
        <v>25</v>
      </c>
      <c r="U788" t="s">
        <v>26</v>
      </c>
    </row>
    <row r="789" spans="1:21" x14ac:dyDescent="0.3">
      <c r="A789">
        <v>788</v>
      </c>
      <c r="B789" t="s">
        <v>2688</v>
      </c>
      <c r="C789" t="s">
        <v>2689</v>
      </c>
      <c r="D789" t="s">
        <v>15</v>
      </c>
      <c r="E789">
        <v>56</v>
      </c>
      <c r="F789" t="str">
        <f t="shared" si="24"/>
        <v>Senior</v>
      </c>
      <c r="G789" t="s">
        <v>1621</v>
      </c>
      <c r="H789" t="str">
        <f t="shared" si="25"/>
        <v>Feb</v>
      </c>
      <c r="I789" t="s">
        <v>17</v>
      </c>
      <c r="J789" t="s">
        <v>79</v>
      </c>
      <c r="K789" t="s">
        <v>2690</v>
      </c>
      <c r="L789" t="s">
        <v>62</v>
      </c>
      <c r="M789" t="s">
        <v>85</v>
      </c>
      <c r="N789">
        <v>5</v>
      </c>
      <c r="O789" t="s">
        <v>22</v>
      </c>
      <c r="P789">
        <v>4373.63</v>
      </c>
      <c r="Q789" t="s">
        <v>23</v>
      </c>
      <c r="R789" t="s">
        <v>24</v>
      </c>
      <c r="S789">
        <v>400001</v>
      </c>
      <c r="T789" t="s">
        <v>25</v>
      </c>
      <c r="U789" t="s">
        <v>44</v>
      </c>
    </row>
    <row r="790" spans="1:21" x14ac:dyDescent="0.3">
      <c r="A790">
        <v>789</v>
      </c>
      <c r="B790" t="s">
        <v>2691</v>
      </c>
      <c r="C790" t="s">
        <v>2692</v>
      </c>
      <c r="D790" t="s">
        <v>15</v>
      </c>
      <c r="E790">
        <v>33</v>
      </c>
      <c r="F790" t="str">
        <f t="shared" si="24"/>
        <v>Adult</v>
      </c>
      <c r="G790" t="s">
        <v>996</v>
      </c>
      <c r="H790" t="str">
        <f t="shared" si="25"/>
        <v>Sep</v>
      </c>
      <c r="I790" t="s">
        <v>17</v>
      </c>
      <c r="J790" t="s">
        <v>79</v>
      </c>
      <c r="K790" t="s">
        <v>2693</v>
      </c>
      <c r="L790" t="s">
        <v>62</v>
      </c>
      <c r="M790" t="s">
        <v>34</v>
      </c>
      <c r="N790">
        <v>2</v>
      </c>
      <c r="O790" t="s">
        <v>22</v>
      </c>
      <c r="P790">
        <v>3040.92</v>
      </c>
      <c r="Q790" t="s">
        <v>42</v>
      </c>
      <c r="R790" t="s">
        <v>43</v>
      </c>
      <c r="S790">
        <v>302001</v>
      </c>
      <c r="T790" t="s">
        <v>25</v>
      </c>
      <c r="U790" t="s">
        <v>26</v>
      </c>
    </row>
    <row r="791" spans="1:21" x14ac:dyDescent="0.3">
      <c r="A791">
        <v>790</v>
      </c>
      <c r="B791" t="s">
        <v>2694</v>
      </c>
      <c r="C791" t="s">
        <v>2695</v>
      </c>
      <c r="D791" t="s">
        <v>29</v>
      </c>
      <c r="E791">
        <v>23</v>
      </c>
      <c r="F791" t="str">
        <f t="shared" si="24"/>
        <v>Teenager</v>
      </c>
      <c r="G791" t="s">
        <v>1364</v>
      </c>
      <c r="H791" t="str">
        <f t="shared" si="25"/>
        <v>Mar</v>
      </c>
      <c r="I791" t="s">
        <v>48</v>
      </c>
      <c r="J791" t="s">
        <v>79</v>
      </c>
      <c r="K791" t="s">
        <v>2696</v>
      </c>
      <c r="L791" t="s">
        <v>33</v>
      </c>
      <c r="M791" t="s">
        <v>85</v>
      </c>
      <c r="N791">
        <v>4</v>
      </c>
      <c r="O791" t="s">
        <v>22</v>
      </c>
      <c r="P791">
        <v>554.45000000000005</v>
      </c>
      <c r="Q791" t="s">
        <v>42</v>
      </c>
      <c r="R791" t="s">
        <v>43</v>
      </c>
      <c r="S791">
        <v>302001</v>
      </c>
      <c r="T791" t="s">
        <v>25</v>
      </c>
      <c r="U791" t="s">
        <v>44</v>
      </c>
    </row>
    <row r="792" spans="1:21" x14ac:dyDescent="0.3">
      <c r="A792">
        <v>791</v>
      </c>
      <c r="B792" t="s">
        <v>2697</v>
      </c>
      <c r="C792" t="s">
        <v>2698</v>
      </c>
      <c r="D792" t="s">
        <v>29</v>
      </c>
      <c r="E792">
        <v>19</v>
      </c>
      <c r="F792" t="str">
        <f t="shared" si="24"/>
        <v>Teenager</v>
      </c>
      <c r="G792" t="s">
        <v>2360</v>
      </c>
      <c r="H792" t="str">
        <f t="shared" si="25"/>
        <v>Aug</v>
      </c>
      <c r="I792" t="s">
        <v>70</v>
      </c>
      <c r="J792" t="s">
        <v>79</v>
      </c>
      <c r="K792" t="s">
        <v>2699</v>
      </c>
      <c r="L792" t="s">
        <v>62</v>
      </c>
      <c r="M792" t="s">
        <v>50</v>
      </c>
      <c r="N792">
        <v>5</v>
      </c>
      <c r="O792" t="s">
        <v>22</v>
      </c>
      <c r="P792">
        <v>332.81</v>
      </c>
      <c r="Q792" t="s">
        <v>35</v>
      </c>
      <c r="R792" t="s">
        <v>36</v>
      </c>
      <c r="S792">
        <v>560001</v>
      </c>
      <c r="T792" t="s">
        <v>25</v>
      </c>
      <c r="U792" t="s">
        <v>44</v>
      </c>
    </row>
    <row r="793" spans="1:21" x14ac:dyDescent="0.3">
      <c r="A793">
        <v>792</v>
      </c>
      <c r="B793" t="s">
        <v>2700</v>
      </c>
      <c r="C793" t="s">
        <v>2701</v>
      </c>
      <c r="D793" t="s">
        <v>29</v>
      </c>
      <c r="E793">
        <v>41</v>
      </c>
      <c r="F793" t="str">
        <f t="shared" si="24"/>
        <v>Adult</v>
      </c>
      <c r="G793" t="s">
        <v>1375</v>
      </c>
      <c r="H793" t="str">
        <f t="shared" si="25"/>
        <v>Apr</v>
      </c>
      <c r="I793" t="s">
        <v>17</v>
      </c>
      <c r="J793" t="s">
        <v>79</v>
      </c>
      <c r="K793" t="s">
        <v>2702</v>
      </c>
      <c r="L793" t="s">
        <v>20</v>
      </c>
      <c r="M793" t="s">
        <v>50</v>
      </c>
      <c r="N793">
        <v>4</v>
      </c>
      <c r="O793" t="s">
        <v>22</v>
      </c>
      <c r="P793">
        <v>2520.61</v>
      </c>
      <c r="Q793" t="s">
        <v>74</v>
      </c>
      <c r="R793" t="s">
        <v>75</v>
      </c>
      <c r="S793">
        <v>226001</v>
      </c>
      <c r="T793" t="s">
        <v>25</v>
      </c>
      <c r="U793" t="s">
        <v>44</v>
      </c>
    </row>
    <row r="794" spans="1:21" x14ac:dyDescent="0.3">
      <c r="A794">
        <v>793</v>
      </c>
      <c r="B794" t="s">
        <v>2703</v>
      </c>
      <c r="C794" t="s">
        <v>2704</v>
      </c>
      <c r="D794" t="s">
        <v>29</v>
      </c>
      <c r="E794">
        <v>57</v>
      </c>
      <c r="F794" t="str">
        <f t="shared" si="24"/>
        <v>Senior</v>
      </c>
      <c r="G794" t="s">
        <v>2075</v>
      </c>
      <c r="H794" t="str">
        <f t="shared" si="25"/>
        <v>Jun</v>
      </c>
      <c r="I794" t="s">
        <v>60</v>
      </c>
      <c r="J794" t="s">
        <v>79</v>
      </c>
      <c r="K794" t="s">
        <v>2705</v>
      </c>
      <c r="L794" t="s">
        <v>73</v>
      </c>
      <c r="M794" t="s">
        <v>21</v>
      </c>
      <c r="N794">
        <v>3</v>
      </c>
      <c r="O794" t="s">
        <v>22</v>
      </c>
      <c r="P794">
        <v>2471.6999999999998</v>
      </c>
      <c r="Q794" t="s">
        <v>23</v>
      </c>
      <c r="R794" t="s">
        <v>24</v>
      </c>
      <c r="S794">
        <v>400001</v>
      </c>
      <c r="T794" t="s">
        <v>25</v>
      </c>
      <c r="U794" t="s">
        <v>26</v>
      </c>
    </row>
    <row r="795" spans="1:21" x14ac:dyDescent="0.3">
      <c r="A795">
        <v>794</v>
      </c>
      <c r="B795" t="s">
        <v>2706</v>
      </c>
      <c r="C795" t="s">
        <v>2707</v>
      </c>
      <c r="D795" t="s">
        <v>15</v>
      </c>
      <c r="E795">
        <v>34</v>
      </c>
      <c r="F795" t="str">
        <f t="shared" si="24"/>
        <v>Adult</v>
      </c>
      <c r="G795" t="s">
        <v>2045</v>
      </c>
      <c r="H795" t="str">
        <f t="shared" si="25"/>
        <v>Apr</v>
      </c>
      <c r="I795" t="s">
        <v>60</v>
      </c>
      <c r="J795" t="s">
        <v>79</v>
      </c>
      <c r="K795" t="s">
        <v>2708</v>
      </c>
      <c r="L795" t="s">
        <v>33</v>
      </c>
      <c r="M795" t="s">
        <v>85</v>
      </c>
      <c r="N795">
        <v>5</v>
      </c>
      <c r="O795" t="s">
        <v>22</v>
      </c>
      <c r="P795">
        <v>4514.18</v>
      </c>
      <c r="Q795" t="s">
        <v>35</v>
      </c>
      <c r="R795" t="s">
        <v>36</v>
      </c>
      <c r="S795">
        <v>560001</v>
      </c>
      <c r="T795" t="s">
        <v>25</v>
      </c>
      <c r="U795" t="s">
        <v>44</v>
      </c>
    </row>
    <row r="796" spans="1:21" x14ac:dyDescent="0.3">
      <c r="A796">
        <v>795</v>
      </c>
      <c r="B796" t="s">
        <v>2709</v>
      </c>
      <c r="C796" t="s">
        <v>2710</v>
      </c>
      <c r="D796" t="s">
        <v>15</v>
      </c>
      <c r="E796">
        <v>20</v>
      </c>
      <c r="F796" t="str">
        <f t="shared" si="24"/>
        <v>Teenager</v>
      </c>
      <c r="G796" t="s">
        <v>426</v>
      </c>
      <c r="H796" t="str">
        <f t="shared" si="25"/>
        <v>Nov</v>
      </c>
      <c r="I796" t="s">
        <v>60</v>
      </c>
      <c r="J796" t="s">
        <v>79</v>
      </c>
      <c r="K796" t="s">
        <v>2711</v>
      </c>
      <c r="L796" t="s">
        <v>73</v>
      </c>
      <c r="M796" t="s">
        <v>21</v>
      </c>
      <c r="N796">
        <v>4</v>
      </c>
      <c r="O796" t="s">
        <v>22</v>
      </c>
      <c r="P796">
        <v>4068.38</v>
      </c>
      <c r="Q796" t="s">
        <v>74</v>
      </c>
      <c r="R796" t="s">
        <v>36</v>
      </c>
      <c r="S796">
        <v>226001</v>
      </c>
      <c r="T796" t="s">
        <v>25</v>
      </c>
      <c r="U796" t="s">
        <v>26</v>
      </c>
    </row>
    <row r="797" spans="1:21" x14ac:dyDescent="0.3">
      <c r="A797">
        <v>796</v>
      </c>
      <c r="B797" t="s">
        <v>2712</v>
      </c>
      <c r="C797" t="s">
        <v>2713</v>
      </c>
      <c r="D797" t="s">
        <v>15</v>
      </c>
      <c r="E797">
        <v>36</v>
      </c>
      <c r="F797" t="str">
        <f t="shared" si="24"/>
        <v>Adult</v>
      </c>
      <c r="G797" t="s">
        <v>2714</v>
      </c>
      <c r="H797" t="str">
        <f t="shared" si="25"/>
        <v>Jul</v>
      </c>
      <c r="I797" t="s">
        <v>60</v>
      </c>
      <c r="J797" t="s">
        <v>79</v>
      </c>
      <c r="K797" t="s">
        <v>2715</v>
      </c>
      <c r="L797" t="s">
        <v>62</v>
      </c>
      <c r="M797" t="s">
        <v>34</v>
      </c>
      <c r="N797">
        <v>3</v>
      </c>
      <c r="O797" t="s">
        <v>22</v>
      </c>
      <c r="P797">
        <v>682.1</v>
      </c>
      <c r="Q797" t="s">
        <v>74</v>
      </c>
      <c r="R797" t="s">
        <v>36</v>
      </c>
      <c r="S797">
        <v>226001</v>
      </c>
      <c r="T797" t="s">
        <v>25</v>
      </c>
      <c r="U797" t="s">
        <v>44</v>
      </c>
    </row>
    <row r="798" spans="1:21" x14ac:dyDescent="0.3">
      <c r="A798">
        <v>797</v>
      </c>
      <c r="B798" t="s">
        <v>2716</v>
      </c>
      <c r="C798" t="s">
        <v>2717</v>
      </c>
      <c r="D798" t="s">
        <v>15</v>
      </c>
      <c r="E798">
        <v>29</v>
      </c>
      <c r="F798" t="str">
        <f t="shared" si="24"/>
        <v>Teenager</v>
      </c>
      <c r="G798" t="s">
        <v>2718</v>
      </c>
      <c r="H798" t="str">
        <f t="shared" si="25"/>
        <v>Jun</v>
      </c>
      <c r="I798" t="s">
        <v>60</v>
      </c>
      <c r="J798" t="s">
        <v>79</v>
      </c>
      <c r="K798" t="s">
        <v>2719</v>
      </c>
      <c r="L798" t="s">
        <v>73</v>
      </c>
      <c r="M798" t="s">
        <v>50</v>
      </c>
      <c r="N798">
        <v>5</v>
      </c>
      <c r="O798" t="s">
        <v>22</v>
      </c>
      <c r="P798">
        <v>1986.98</v>
      </c>
      <c r="Q798" t="s">
        <v>23</v>
      </c>
      <c r="R798" t="s">
        <v>36</v>
      </c>
      <c r="S798">
        <v>400001</v>
      </c>
      <c r="T798" t="s">
        <v>25</v>
      </c>
      <c r="U798" t="s">
        <v>44</v>
      </c>
    </row>
    <row r="799" spans="1:21" x14ac:dyDescent="0.3">
      <c r="A799">
        <v>798</v>
      </c>
      <c r="B799" t="s">
        <v>2720</v>
      </c>
      <c r="C799" t="s">
        <v>2721</v>
      </c>
      <c r="D799" t="s">
        <v>29</v>
      </c>
      <c r="E799">
        <v>20</v>
      </c>
      <c r="F799" t="str">
        <f t="shared" si="24"/>
        <v>Teenager</v>
      </c>
      <c r="G799" t="s">
        <v>878</v>
      </c>
      <c r="H799" t="str">
        <f t="shared" si="25"/>
        <v>Feb</v>
      </c>
      <c r="I799" t="s">
        <v>60</v>
      </c>
      <c r="J799" t="s">
        <v>79</v>
      </c>
      <c r="K799" t="s">
        <v>2722</v>
      </c>
      <c r="L799" t="s">
        <v>33</v>
      </c>
      <c r="M799" t="s">
        <v>34</v>
      </c>
      <c r="N799">
        <v>4</v>
      </c>
      <c r="O799" t="s">
        <v>22</v>
      </c>
      <c r="P799">
        <v>2128.7199999999998</v>
      </c>
      <c r="Q799" t="s">
        <v>23</v>
      </c>
      <c r="R799" t="s">
        <v>36</v>
      </c>
      <c r="S799">
        <v>400001</v>
      </c>
      <c r="T799" t="s">
        <v>25</v>
      </c>
      <c r="U799" t="s">
        <v>44</v>
      </c>
    </row>
    <row r="800" spans="1:21" x14ac:dyDescent="0.3">
      <c r="A800">
        <v>799</v>
      </c>
      <c r="B800" t="s">
        <v>2723</v>
      </c>
      <c r="C800" t="s">
        <v>2724</v>
      </c>
      <c r="D800" t="s">
        <v>29</v>
      </c>
      <c r="E800">
        <v>53</v>
      </c>
      <c r="F800" t="str">
        <f t="shared" si="24"/>
        <v>Senior</v>
      </c>
      <c r="G800" t="s">
        <v>2360</v>
      </c>
      <c r="H800" t="str">
        <f t="shared" si="25"/>
        <v>Aug</v>
      </c>
      <c r="I800" t="s">
        <v>60</v>
      </c>
      <c r="J800" t="s">
        <v>79</v>
      </c>
      <c r="K800" t="s">
        <v>2725</v>
      </c>
      <c r="L800" t="s">
        <v>33</v>
      </c>
      <c r="M800" t="s">
        <v>21</v>
      </c>
      <c r="N800">
        <v>4</v>
      </c>
      <c r="O800" t="s">
        <v>22</v>
      </c>
      <c r="P800">
        <v>343.72</v>
      </c>
      <c r="Q800" t="s">
        <v>74</v>
      </c>
      <c r="R800" t="s">
        <v>36</v>
      </c>
      <c r="S800">
        <v>226001</v>
      </c>
      <c r="T800" t="s">
        <v>25</v>
      </c>
      <c r="U800" t="s">
        <v>44</v>
      </c>
    </row>
    <row r="801" spans="1:21" x14ac:dyDescent="0.3">
      <c r="A801">
        <v>800</v>
      </c>
      <c r="B801" t="s">
        <v>2726</v>
      </c>
      <c r="C801" t="s">
        <v>2727</v>
      </c>
      <c r="D801" t="s">
        <v>15</v>
      </c>
      <c r="E801">
        <v>53</v>
      </c>
      <c r="F801" t="str">
        <f t="shared" si="24"/>
        <v>Senior</v>
      </c>
      <c r="G801" t="s">
        <v>2728</v>
      </c>
      <c r="H801" t="str">
        <f t="shared" si="25"/>
        <v>Nov</v>
      </c>
      <c r="I801" t="s">
        <v>60</v>
      </c>
      <c r="J801" t="s">
        <v>79</v>
      </c>
      <c r="K801" t="s">
        <v>2729</v>
      </c>
      <c r="L801" t="s">
        <v>56</v>
      </c>
      <c r="M801" t="s">
        <v>85</v>
      </c>
      <c r="N801">
        <v>5</v>
      </c>
      <c r="O801" t="s">
        <v>22</v>
      </c>
      <c r="P801">
        <v>383.28</v>
      </c>
      <c r="Q801" t="s">
        <v>74</v>
      </c>
      <c r="R801" t="s">
        <v>24</v>
      </c>
      <c r="S801">
        <v>226001</v>
      </c>
      <c r="T801" t="s">
        <v>25</v>
      </c>
      <c r="U801" t="s">
        <v>26</v>
      </c>
    </row>
    <row r="802" spans="1:21" x14ac:dyDescent="0.3">
      <c r="A802">
        <v>801</v>
      </c>
      <c r="B802" t="s">
        <v>2730</v>
      </c>
      <c r="C802" t="s">
        <v>2731</v>
      </c>
      <c r="D802" t="s">
        <v>29</v>
      </c>
      <c r="E802">
        <v>28</v>
      </c>
      <c r="F802" t="str">
        <f t="shared" si="24"/>
        <v>Teenager</v>
      </c>
      <c r="G802" t="s">
        <v>2732</v>
      </c>
      <c r="H802" t="str">
        <f t="shared" si="25"/>
        <v>Aug</v>
      </c>
      <c r="I802" t="s">
        <v>60</v>
      </c>
      <c r="J802" t="s">
        <v>79</v>
      </c>
      <c r="K802" t="s">
        <v>2733</v>
      </c>
      <c r="L802" t="s">
        <v>56</v>
      </c>
      <c r="M802" t="s">
        <v>34</v>
      </c>
      <c r="N802">
        <v>4</v>
      </c>
      <c r="O802" t="s">
        <v>22</v>
      </c>
      <c r="P802">
        <v>2377.54</v>
      </c>
      <c r="Q802" t="s">
        <v>51</v>
      </c>
      <c r="R802" t="s">
        <v>51</v>
      </c>
      <c r="S802">
        <v>110001</v>
      </c>
      <c r="T802" t="s">
        <v>25</v>
      </c>
      <c r="U802" t="s">
        <v>26</v>
      </c>
    </row>
    <row r="803" spans="1:21" x14ac:dyDescent="0.3">
      <c r="A803">
        <v>802</v>
      </c>
      <c r="B803" t="s">
        <v>2734</v>
      </c>
      <c r="C803" t="s">
        <v>2735</v>
      </c>
      <c r="D803" t="s">
        <v>15</v>
      </c>
      <c r="E803">
        <v>30</v>
      </c>
      <c r="F803" t="str">
        <f t="shared" si="24"/>
        <v>Adult</v>
      </c>
      <c r="G803" t="s">
        <v>2736</v>
      </c>
      <c r="H803" t="str">
        <f t="shared" si="25"/>
        <v>Aug</v>
      </c>
      <c r="I803" t="s">
        <v>60</v>
      </c>
      <c r="J803" t="s">
        <v>79</v>
      </c>
      <c r="K803" t="s">
        <v>2737</v>
      </c>
      <c r="L803" t="s">
        <v>62</v>
      </c>
      <c r="M803" t="s">
        <v>34</v>
      </c>
      <c r="N803">
        <v>1</v>
      </c>
      <c r="O803" t="s">
        <v>22</v>
      </c>
      <c r="P803">
        <v>1358.73</v>
      </c>
      <c r="Q803" t="s">
        <v>51</v>
      </c>
      <c r="R803" t="s">
        <v>51</v>
      </c>
      <c r="S803">
        <v>110001</v>
      </c>
      <c r="T803" t="s">
        <v>25</v>
      </c>
      <c r="U803" t="s">
        <v>44</v>
      </c>
    </row>
    <row r="804" spans="1:21" x14ac:dyDescent="0.3">
      <c r="A804">
        <v>803</v>
      </c>
      <c r="B804" t="s">
        <v>2738</v>
      </c>
      <c r="C804" t="s">
        <v>2739</v>
      </c>
      <c r="D804" t="s">
        <v>15</v>
      </c>
      <c r="E804">
        <v>51</v>
      </c>
      <c r="F804" t="str">
        <f t="shared" si="24"/>
        <v>Senior</v>
      </c>
      <c r="G804" t="s">
        <v>110</v>
      </c>
      <c r="H804" t="str">
        <f t="shared" si="25"/>
        <v>Dec</v>
      </c>
      <c r="I804" t="s">
        <v>60</v>
      </c>
      <c r="J804" t="s">
        <v>79</v>
      </c>
      <c r="K804" t="s">
        <v>2740</v>
      </c>
      <c r="L804" t="s">
        <v>107</v>
      </c>
      <c r="M804" t="s">
        <v>50</v>
      </c>
      <c r="N804">
        <v>1</v>
      </c>
      <c r="O804" t="s">
        <v>22</v>
      </c>
      <c r="P804">
        <v>950.35</v>
      </c>
      <c r="Q804" t="s">
        <v>51</v>
      </c>
      <c r="R804" t="s">
        <v>51</v>
      </c>
      <c r="S804">
        <v>110001</v>
      </c>
      <c r="T804" t="s">
        <v>25</v>
      </c>
      <c r="U804" t="s">
        <v>44</v>
      </c>
    </row>
    <row r="805" spans="1:21" x14ac:dyDescent="0.3">
      <c r="A805">
        <v>804</v>
      </c>
      <c r="B805" t="s">
        <v>2741</v>
      </c>
      <c r="C805" t="s">
        <v>2742</v>
      </c>
      <c r="D805" t="s">
        <v>29</v>
      </c>
      <c r="E805">
        <v>55</v>
      </c>
      <c r="F805" t="str">
        <f t="shared" si="24"/>
        <v>Senior</v>
      </c>
      <c r="G805" t="s">
        <v>2053</v>
      </c>
      <c r="H805" t="str">
        <f t="shared" si="25"/>
        <v>Jul</v>
      </c>
      <c r="I805" t="s">
        <v>60</v>
      </c>
      <c r="J805" t="s">
        <v>79</v>
      </c>
      <c r="K805" t="s">
        <v>2743</v>
      </c>
      <c r="L805" t="s">
        <v>33</v>
      </c>
      <c r="M805" t="s">
        <v>85</v>
      </c>
      <c r="N805">
        <v>2</v>
      </c>
      <c r="O805" t="s">
        <v>22</v>
      </c>
      <c r="P805">
        <v>1200.22</v>
      </c>
      <c r="Q805" t="s">
        <v>42</v>
      </c>
      <c r="R805" t="s">
        <v>43</v>
      </c>
      <c r="S805">
        <v>302001</v>
      </c>
      <c r="T805" t="s">
        <v>25</v>
      </c>
      <c r="U805" t="s">
        <v>26</v>
      </c>
    </row>
    <row r="806" spans="1:21" x14ac:dyDescent="0.3">
      <c r="A806">
        <v>805</v>
      </c>
      <c r="B806" t="s">
        <v>2744</v>
      </c>
      <c r="C806" t="s">
        <v>2745</v>
      </c>
      <c r="D806" t="s">
        <v>15</v>
      </c>
      <c r="E806">
        <v>40</v>
      </c>
      <c r="F806" t="str">
        <f t="shared" si="24"/>
        <v>Adult</v>
      </c>
      <c r="G806" t="s">
        <v>1000</v>
      </c>
      <c r="H806" t="str">
        <f t="shared" si="25"/>
        <v>Dec</v>
      </c>
      <c r="I806" t="s">
        <v>60</v>
      </c>
      <c r="J806" t="s">
        <v>79</v>
      </c>
      <c r="K806" t="s">
        <v>2746</v>
      </c>
      <c r="L806" t="s">
        <v>56</v>
      </c>
      <c r="M806" t="s">
        <v>50</v>
      </c>
      <c r="N806">
        <v>5</v>
      </c>
      <c r="O806" t="s">
        <v>22</v>
      </c>
      <c r="P806">
        <v>2516.5500000000002</v>
      </c>
      <c r="Q806" t="s">
        <v>23</v>
      </c>
      <c r="R806" t="s">
        <v>24</v>
      </c>
      <c r="S806">
        <v>400001</v>
      </c>
      <c r="T806" t="s">
        <v>25</v>
      </c>
      <c r="U806" t="s">
        <v>44</v>
      </c>
    </row>
    <row r="807" spans="1:21" x14ac:dyDescent="0.3">
      <c r="A807">
        <v>806</v>
      </c>
      <c r="B807" t="s">
        <v>2747</v>
      </c>
      <c r="C807" t="s">
        <v>2748</v>
      </c>
      <c r="D807" t="s">
        <v>15</v>
      </c>
      <c r="E807">
        <v>47</v>
      </c>
      <c r="F807" t="str">
        <f t="shared" si="24"/>
        <v>Adult</v>
      </c>
      <c r="G807" t="s">
        <v>2749</v>
      </c>
      <c r="H807" t="str">
        <f t="shared" si="25"/>
        <v>Dec</v>
      </c>
      <c r="I807" t="s">
        <v>60</v>
      </c>
      <c r="J807" t="s">
        <v>79</v>
      </c>
      <c r="K807" t="s">
        <v>2750</v>
      </c>
      <c r="L807" t="s">
        <v>33</v>
      </c>
      <c r="M807" t="s">
        <v>21</v>
      </c>
      <c r="N807">
        <v>2</v>
      </c>
      <c r="O807" t="s">
        <v>22</v>
      </c>
      <c r="P807">
        <v>4465.1099999999997</v>
      </c>
      <c r="Q807" t="s">
        <v>51</v>
      </c>
      <c r="R807" t="s">
        <v>51</v>
      </c>
      <c r="S807">
        <v>110001</v>
      </c>
      <c r="T807" t="s">
        <v>25</v>
      </c>
      <c r="U807" t="s">
        <v>26</v>
      </c>
    </row>
    <row r="808" spans="1:21" x14ac:dyDescent="0.3">
      <c r="A808">
        <v>807</v>
      </c>
      <c r="B808" t="s">
        <v>2751</v>
      </c>
      <c r="C808" t="s">
        <v>2752</v>
      </c>
      <c r="D808" t="s">
        <v>29</v>
      </c>
      <c r="E808">
        <v>49</v>
      </c>
      <c r="F808" t="str">
        <f t="shared" si="24"/>
        <v>Adult</v>
      </c>
      <c r="G808" t="s">
        <v>465</v>
      </c>
      <c r="H808" t="str">
        <f t="shared" si="25"/>
        <v>Jan</v>
      </c>
      <c r="I808" t="s">
        <v>60</v>
      </c>
      <c r="J808" t="s">
        <v>79</v>
      </c>
      <c r="K808" t="s">
        <v>2753</v>
      </c>
      <c r="L808" t="s">
        <v>20</v>
      </c>
      <c r="M808" t="s">
        <v>34</v>
      </c>
      <c r="N808">
        <v>3</v>
      </c>
      <c r="O808" t="s">
        <v>22</v>
      </c>
      <c r="P808">
        <v>3527.75</v>
      </c>
      <c r="Q808" t="s">
        <v>51</v>
      </c>
      <c r="R808" t="s">
        <v>51</v>
      </c>
      <c r="S808">
        <v>110001</v>
      </c>
      <c r="T808" t="s">
        <v>25</v>
      </c>
      <c r="U808" t="s">
        <v>44</v>
      </c>
    </row>
    <row r="809" spans="1:21" x14ac:dyDescent="0.3">
      <c r="A809">
        <v>808</v>
      </c>
      <c r="B809" t="s">
        <v>2754</v>
      </c>
      <c r="C809" t="s">
        <v>2755</v>
      </c>
      <c r="D809" t="s">
        <v>29</v>
      </c>
      <c r="E809">
        <v>47</v>
      </c>
      <c r="F809" t="str">
        <f t="shared" si="24"/>
        <v>Adult</v>
      </c>
      <c r="G809" t="s">
        <v>1593</v>
      </c>
      <c r="H809" t="str">
        <f t="shared" si="25"/>
        <v>May</v>
      </c>
      <c r="I809" t="s">
        <v>60</v>
      </c>
      <c r="J809" t="s">
        <v>79</v>
      </c>
      <c r="K809" t="s">
        <v>2756</v>
      </c>
      <c r="L809" t="s">
        <v>20</v>
      </c>
      <c r="M809" t="s">
        <v>34</v>
      </c>
      <c r="N809">
        <v>4</v>
      </c>
      <c r="O809" t="s">
        <v>22</v>
      </c>
      <c r="P809">
        <v>4921.33</v>
      </c>
      <c r="Q809" t="s">
        <v>35</v>
      </c>
      <c r="R809" t="s">
        <v>36</v>
      </c>
      <c r="S809">
        <v>560001</v>
      </c>
      <c r="T809" t="s">
        <v>25</v>
      </c>
      <c r="U809" t="s">
        <v>26</v>
      </c>
    </row>
    <row r="810" spans="1:21" x14ac:dyDescent="0.3">
      <c r="A810">
        <v>809</v>
      </c>
      <c r="B810" t="s">
        <v>2757</v>
      </c>
      <c r="C810" t="s">
        <v>2758</v>
      </c>
      <c r="D810" t="s">
        <v>29</v>
      </c>
      <c r="E810">
        <v>57</v>
      </c>
      <c r="F810" t="str">
        <f t="shared" si="24"/>
        <v>Senior</v>
      </c>
      <c r="G810" t="s">
        <v>234</v>
      </c>
      <c r="H810" t="str">
        <f t="shared" si="25"/>
        <v>Aug</v>
      </c>
      <c r="I810" t="s">
        <v>60</v>
      </c>
      <c r="J810" t="s">
        <v>79</v>
      </c>
      <c r="K810" t="s">
        <v>2759</v>
      </c>
      <c r="L810" t="s">
        <v>20</v>
      </c>
      <c r="M810" t="s">
        <v>21</v>
      </c>
      <c r="N810">
        <v>3</v>
      </c>
      <c r="O810" t="s">
        <v>22</v>
      </c>
      <c r="P810">
        <v>2882.29</v>
      </c>
      <c r="Q810" t="s">
        <v>23</v>
      </c>
      <c r="R810" t="s">
        <v>24</v>
      </c>
      <c r="S810">
        <v>400001</v>
      </c>
      <c r="T810" t="s">
        <v>25</v>
      </c>
      <c r="U810" t="s">
        <v>44</v>
      </c>
    </row>
    <row r="811" spans="1:21" x14ac:dyDescent="0.3">
      <c r="A811">
        <v>810</v>
      </c>
      <c r="B811" t="s">
        <v>2760</v>
      </c>
      <c r="C811" t="s">
        <v>2761</v>
      </c>
      <c r="D811" t="s">
        <v>15</v>
      </c>
      <c r="E811">
        <v>51</v>
      </c>
      <c r="F811" t="str">
        <f t="shared" si="24"/>
        <v>Senior</v>
      </c>
      <c r="G811" t="s">
        <v>968</v>
      </c>
      <c r="H811" t="str">
        <f t="shared" si="25"/>
        <v>Mar</v>
      </c>
      <c r="I811" t="s">
        <v>60</v>
      </c>
      <c r="J811" t="s">
        <v>79</v>
      </c>
      <c r="K811" t="s">
        <v>2762</v>
      </c>
      <c r="L811" t="s">
        <v>73</v>
      </c>
      <c r="M811" t="s">
        <v>50</v>
      </c>
      <c r="N811">
        <v>4</v>
      </c>
      <c r="O811" t="s">
        <v>22</v>
      </c>
      <c r="P811">
        <v>2497.48</v>
      </c>
      <c r="Q811" t="s">
        <v>51</v>
      </c>
      <c r="R811" t="s">
        <v>51</v>
      </c>
      <c r="S811">
        <v>110001</v>
      </c>
      <c r="T811" t="s">
        <v>25</v>
      </c>
      <c r="U811" t="s">
        <v>44</v>
      </c>
    </row>
    <row r="812" spans="1:21" x14ac:dyDescent="0.3">
      <c r="A812">
        <v>811</v>
      </c>
      <c r="B812" t="s">
        <v>2763</v>
      </c>
      <c r="C812" t="s">
        <v>2764</v>
      </c>
      <c r="D812" t="s">
        <v>29</v>
      </c>
      <c r="E812">
        <v>52</v>
      </c>
      <c r="F812" t="str">
        <f t="shared" si="24"/>
        <v>Senior</v>
      </c>
      <c r="G812" t="s">
        <v>1775</v>
      </c>
      <c r="H812" t="str">
        <f t="shared" si="25"/>
        <v>Mar</v>
      </c>
      <c r="I812" t="s">
        <v>60</v>
      </c>
      <c r="J812" t="s">
        <v>79</v>
      </c>
      <c r="K812" t="s">
        <v>2765</v>
      </c>
      <c r="L812" t="s">
        <v>73</v>
      </c>
      <c r="M812" t="s">
        <v>34</v>
      </c>
      <c r="N812">
        <v>5</v>
      </c>
      <c r="O812" t="s">
        <v>22</v>
      </c>
      <c r="P812">
        <v>1077.8</v>
      </c>
      <c r="Q812" t="s">
        <v>51</v>
      </c>
      <c r="R812" t="s">
        <v>51</v>
      </c>
      <c r="S812">
        <v>110001</v>
      </c>
      <c r="T812" t="s">
        <v>25</v>
      </c>
      <c r="U812" t="s">
        <v>26</v>
      </c>
    </row>
    <row r="813" spans="1:21" x14ac:dyDescent="0.3">
      <c r="A813">
        <v>812</v>
      </c>
      <c r="B813" t="s">
        <v>2766</v>
      </c>
      <c r="C813" t="s">
        <v>2767</v>
      </c>
      <c r="D813" t="s">
        <v>29</v>
      </c>
      <c r="E813">
        <v>28</v>
      </c>
      <c r="F813" t="str">
        <f t="shared" si="24"/>
        <v>Teenager</v>
      </c>
      <c r="G813" t="s">
        <v>415</v>
      </c>
      <c r="H813" t="str">
        <f t="shared" si="25"/>
        <v>Aug</v>
      </c>
      <c r="I813" t="s">
        <v>60</v>
      </c>
      <c r="J813" t="s">
        <v>79</v>
      </c>
      <c r="K813" t="s">
        <v>2768</v>
      </c>
      <c r="L813" t="s">
        <v>62</v>
      </c>
      <c r="M813" t="s">
        <v>85</v>
      </c>
      <c r="N813">
        <v>2</v>
      </c>
      <c r="O813" t="s">
        <v>22</v>
      </c>
      <c r="P813">
        <v>1132.3499999999999</v>
      </c>
      <c r="Q813" t="s">
        <v>35</v>
      </c>
      <c r="R813" t="s">
        <v>36</v>
      </c>
      <c r="S813">
        <v>560001</v>
      </c>
      <c r="T813" t="s">
        <v>25</v>
      </c>
      <c r="U813" t="s">
        <v>44</v>
      </c>
    </row>
    <row r="814" spans="1:21" x14ac:dyDescent="0.3">
      <c r="A814">
        <v>813</v>
      </c>
      <c r="B814" t="s">
        <v>2769</v>
      </c>
      <c r="C814" t="s">
        <v>2770</v>
      </c>
      <c r="D814" t="s">
        <v>15</v>
      </c>
      <c r="E814">
        <v>33</v>
      </c>
      <c r="F814" t="str">
        <f t="shared" si="24"/>
        <v>Adult</v>
      </c>
      <c r="G814" t="s">
        <v>625</v>
      </c>
      <c r="H814" t="str">
        <f t="shared" si="25"/>
        <v>Apr</v>
      </c>
      <c r="I814" t="s">
        <v>60</v>
      </c>
      <c r="J814" t="s">
        <v>79</v>
      </c>
      <c r="K814" t="s">
        <v>1491</v>
      </c>
      <c r="L814" t="s">
        <v>62</v>
      </c>
      <c r="M814" t="s">
        <v>21</v>
      </c>
      <c r="N814">
        <v>3</v>
      </c>
      <c r="O814" t="s">
        <v>22</v>
      </c>
      <c r="P814">
        <v>1764.43</v>
      </c>
      <c r="Q814" t="s">
        <v>51</v>
      </c>
      <c r="R814" t="s">
        <v>51</v>
      </c>
      <c r="S814">
        <v>110001</v>
      </c>
      <c r="T814" t="s">
        <v>25</v>
      </c>
      <c r="U814" t="s">
        <v>26</v>
      </c>
    </row>
    <row r="815" spans="1:21" x14ac:dyDescent="0.3">
      <c r="A815">
        <v>814</v>
      </c>
      <c r="B815" t="s">
        <v>2771</v>
      </c>
      <c r="C815" t="s">
        <v>2772</v>
      </c>
      <c r="D815" t="s">
        <v>15</v>
      </c>
      <c r="E815">
        <v>25</v>
      </c>
      <c r="F815" t="str">
        <f t="shared" si="24"/>
        <v>Teenager</v>
      </c>
      <c r="G815" t="s">
        <v>2773</v>
      </c>
      <c r="H815" t="str">
        <f t="shared" si="25"/>
        <v>Sep</v>
      </c>
      <c r="I815" t="s">
        <v>60</v>
      </c>
      <c r="J815" t="s">
        <v>79</v>
      </c>
      <c r="K815" t="s">
        <v>2774</v>
      </c>
      <c r="L815" t="s">
        <v>20</v>
      </c>
      <c r="M815" t="s">
        <v>85</v>
      </c>
      <c r="N815">
        <v>5</v>
      </c>
      <c r="O815" t="s">
        <v>22</v>
      </c>
      <c r="P815">
        <v>3657.12</v>
      </c>
      <c r="Q815" t="s">
        <v>42</v>
      </c>
      <c r="R815" t="s">
        <v>43</v>
      </c>
      <c r="S815">
        <v>302001</v>
      </c>
      <c r="T815" t="s">
        <v>25</v>
      </c>
      <c r="U815" t="s">
        <v>44</v>
      </c>
    </row>
    <row r="816" spans="1:21" x14ac:dyDescent="0.3">
      <c r="A816">
        <v>815</v>
      </c>
      <c r="B816" t="s">
        <v>2775</v>
      </c>
      <c r="C816" t="s">
        <v>2776</v>
      </c>
      <c r="D816" t="s">
        <v>29</v>
      </c>
      <c r="E816">
        <v>58</v>
      </c>
      <c r="F816" t="str">
        <f t="shared" si="24"/>
        <v>Senior</v>
      </c>
      <c r="G816" t="s">
        <v>1160</v>
      </c>
      <c r="H816" t="str">
        <f t="shared" si="25"/>
        <v>Nov</v>
      </c>
      <c r="I816" t="s">
        <v>60</v>
      </c>
      <c r="J816" t="s">
        <v>79</v>
      </c>
      <c r="K816" t="s">
        <v>2777</v>
      </c>
      <c r="L816" t="s">
        <v>33</v>
      </c>
      <c r="M816" t="s">
        <v>34</v>
      </c>
      <c r="N816">
        <v>2</v>
      </c>
      <c r="O816" t="s">
        <v>22</v>
      </c>
      <c r="P816">
        <v>1384.31</v>
      </c>
      <c r="Q816" t="s">
        <v>23</v>
      </c>
      <c r="R816" t="s">
        <v>24</v>
      </c>
      <c r="S816">
        <v>400001</v>
      </c>
      <c r="T816" t="s">
        <v>25</v>
      </c>
      <c r="U816" t="s">
        <v>44</v>
      </c>
    </row>
    <row r="817" spans="1:21" x14ac:dyDescent="0.3">
      <c r="A817">
        <v>816</v>
      </c>
      <c r="B817" t="s">
        <v>2778</v>
      </c>
      <c r="C817" t="s">
        <v>2779</v>
      </c>
      <c r="D817" t="s">
        <v>15</v>
      </c>
      <c r="E817">
        <v>51</v>
      </c>
      <c r="F817" t="str">
        <f t="shared" si="24"/>
        <v>Senior</v>
      </c>
      <c r="G817" t="s">
        <v>707</v>
      </c>
      <c r="H817" t="str">
        <f t="shared" si="25"/>
        <v>Apr</v>
      </c>
      <c r="I817" t="s">
        <v>60</v>
      </c>
      <c r="J817" t="s">
        <v>79</v>
      </c>
      <c r="K817" t="s">
        <v>2780</v>
      </c>
      <c r="L817" t="s">
        <v>20</v>
      </c>
      <c r="M817" t="s">
        <v>21</v>
      </c>
      <c r="N817">
        <v>3</v>
      </c>
      <c r="O817" t="s">
        <v>22</v>
      </c>
      <c r="P817">
        <v>4119.58</v>
      </c>
      <c r="Q817" t="s">
        <v>74</v>
      </c>
      <c r="R817" t="s">
        <v>75</v>
      </c>
      <c r="S817">
        <v>226001</v>
      </c>
      <c r="T817" t="s">
        <v>25</v>
      </c>
      <c r="U817" t="s">
        <v>26</v>
      </c>
    </row>
    <row r="818" spans="1:21" x14ac:dyDescent="0.3">
      <c r="A818">
        <v>817</v>
      </c>
      <c r="B818" t="s">
        <v>2781</v>
      </c>
      <c r="C818" t="s">
        <v>2782</v>
      </c>
      <c r="D818" t="s">
        <v>15</v>
      </c>
      <c r="E818">
        <v>50</v>
      </c>
      <c r="F818" t="str">
        <f t="shared" si="24"/>
        <v>Senior</v>
      </c>
      <c r="G818" t="s">
        <v>2366</v>
      </c>
      <c r="H818" t="str">
        <f t="shared" si="25"/>
        <v>Aug</v>
      </c>
      <c r="I818" t="s">
        <v>60</v>
      </c>
      <c r="J818" t="s">
        <v>79</v>
      </c>
      <c r="K818" t="s">
        <v>2783</v>
      </c>
      <c r="L818" t="s">
        <v>73</v>
      </c>
      <c r="M818" t="s">
        <v>85</v>
      </c>
      <c r="N818">
        <v>1</v>
      </c>
      <c r="O818" t="s">
        <v>22</v>
      </c>
      <c r="P818">
        <v>1446.62</v>
      </c>
      <c r="Q818" t="s">
        <v>51</v>
      </c>
      <c r="R818" t="s">
        <v>51</v>
      </c>
      <c r="S818">
        <v>110001</v>
      </c>
      <c r="T818" t="s">
        <v>25</v>
      </c>
      <c r="U818" t="s">
        <v>44</v>
      </c>
    </row>
    <row r="819" spans="1:21" x14ac:dyDescent="0.3">
      <c r="A819">
        <v>818</v>
      </c>
      <c r="B819" t="s">
        <v>2784</v>
      </c>
      <c r="C819" t="s">
        <v>2785</v>
      </c>
      <c r="D819" t="s">
        <v>15</v>
      </c>
      <c r="E819">
        <v>59</v>
      </c>
      <c r="F819" t="str">
        <f t="shared" si="24"/>
        <v>Senior</v>
      </c>
      <c r="G819" t="s">
        <v>1368</v>
      </c>
      <c r="H819" t="str">
        <f t="shared" si="25"/>
        <v>Apr</v>
      </c>
      <c r="I819" t="s">
        <v>60</v>
      </c>
      <c r="J819" t="s">
        <v>79</v>
      </c>
      <c r="K819" t="s">
        <v>2786</v>
      </c>
      <c r="L819" t="s">
        <v>20</v>
      </c>
      <c r="M819" t="s">
        <v>50</v>
      </c>
      <c r="N819">
        <v>3</v>
      </c>
      <c r="O819" t="s">
        <v>22</v>
      </c>
      <c r="P819">
        <v>2864.43</v>
      </c>
      <c r="Q819" t="s">
        <v>74</v>
      </c>
      <c r="R819" t="s">
        <v>75</v>
      </c>
      <c r="S819">
        <v>226001</v>
      </c>
      <c r="T819" t="s">
        <v>25</v>
      </c>
      <c r="U819" t="s">
        <v>44</v>
      </c>
    </row>
    <row r="820" spans="1:21" x14ac:dyDescent="0.3">
      <c r="A820">
        <v>819</v>
      </c>
      <c r="B820" t="s">
        <v>2787</v>
      </c>
      <c r="C820" t="s">
        <v>2788</v>
      </c>
      <c r="D820" t="s">
        <v>29</v>
      </c>
      <c r="E820">
        <v>21</v>
      </c>
      <c r="F820" t="str">
        <f t="shared" si="24"/>
        <v>Teenager</v>
      </c>
      <c r="G820" t="s">
        <v>195</v>
      </c>
      <c r="H820" t="str">
        <f t="shared" si="25"/>
        <v>Oct</v>
      </c>
      <c r="I820" t="s">
        <v>60</v>
      </c>
      <c r="J820" t="s">
        <v>79</v>
      </c>
      <c r="K820" t="s">
        <v>2789</v>
      </c>
      <c r="L820" t="s">
        <v>20</v>
      </c>
      <c r="M820" t="s">
        <v>34</v>
      </c>
      <c r="N820">
        <v>1</v>
      </c>
      <c r="O820" t="s">
        <v>22</v>
      </c>
      <c r="P820">
        <v>1071.3</v>
      </c>
      <c r="Q820" t="s">
        <v>35</v>
      </c>
      <c r="R820" t="s">
        <v>36</v>
      </c>
      <c r="S820">
        <v>560001</v>
      </c>
      <c r="T820" t="s">
        <v>25</v>
      </c>
      <c r="U820" t="s">
        <v>44</v>
      </c>
    </row>
    <row r="821" spans="1:21" x14ac:dyDescent="0.3">
      <c r="A821">
        <v>820</v>
      </c>
      <c r="B821" t="s">
        <v>2790</v>
      </c>
      <c r="C821" t="s">
        <v>1175</v>
      </c>
      <c r="D821" t="s">
        <v>15</v>
      </c>
      <c r="E821">
        <v>36</v>
      </c>
      <c r="F821" t="str">
        <f t="shared" si="24"/>
        <v>Adult</v>
      </c>
      <c r="G821" t="s">
        <v>128</v>
      </c>
      <c r="H821" t="str">
        <f t="shared" si="25"/>
        <v>May</v>
      </c>
      <c r="I821" t="s">
        <v>60</v>
      </c>
      <c r="J821" t="s">
        <v>79</v>
      </c>
      <c r="K821" t="s">
        <v>2791</v>
      </c>
      <c r="L821" t="s">
        <v>62</v>
      </c>
      <c r="M821" t="s">
        <v>34</v>
      </c>
      <c r="N821">
        <v>3</v>
      </c>
      <c r="O821" t="s">
        <v>22</v>
      </c>
      <c r="P821">
        <v>4617.97</v>
      </c>
      <c r="Q821" t="s">
        <v>51</v>
      </c>
      <c r="R821" t="s">
        <v>51</v>
      </c>
      <c r="S821">
        <v>110001</v>
      </c>
      <c r="T821" t="s">
        <v>25</v>
      </c>
      <c r="U821" t="s">
        <v>26</v>
      </c>
    </row>
    <row r="822" spans="1:21" x14ac:dyDescent="0.3">
      <c r="A822">
        <v>821</v>
      </c>
      <c r="B822" t="s">
        <v>2792</v>
      </c>
      <c r="C822" t="s">
        <v>2793</v>
      </c>
      <c r="D822" t="s">
        <v>15</v>
      </c>
      <c r="E822">
        <v>48</v>
      </c>
      <c r="F822" t="str">
        <f t="shared" si="24"/>
        <v>Adult</v>
      </c>
      <c r="G822" t="s">
        <v>1576</v>
      </c>
      <c r="H822" t="str">
        <f t="shared" si="25"/>
        <v>Jul</v>
      </c>
      <c r="I822" t="s">
        <v>60</v>
      </c>
      <c r="J822" t="s">
        <v>79</v>
      </c>
      <c r="K822" t="s">
        <v>2794</v>
      </c>
      <c r="L822" t="s">
        <v>56</v>
      </c>
      <c r="M822" t="s">
        <v>21</v>
      </c>
      <c r="N822">
        <v>3</v>
      </c>
      <c r="O822" t="s">
        <v>22</v>
      </c>
      <c r="P822">
        <v>796.12</v>
      </c>
      <c r="Q822" t="s">
        <v>35</v>
      </c>
      <c r="R822" t="s">
        <v>36</v>
      </c>
      <c r="S822">
        <v>560001</v>
      </c>
      <c r="T822" t="s">
        <v>25</v>
      </c>
      <c r="U822" t="s">
        <v>26</v>
      </c>
    </row>
    <row r="823" spans="1:21" x14ac:dyDescent="0.3">
      <c r="A823">
        <v>822</v>
      </c>
      <c r="B823" t="s">
        <v>2795</v>
      </c>
      <c r="C823" t="s">
        <v>2796</v>
      </c>
      <c r="D823" t="s">
        <v>15</v>
      </c>
      <c r="E823">
        <v>41</v>
      </c>
      <c r="F823" t="str">
        <f t="shared" si="24"/>
        <v>Adult</v>
      </c>
      <c r="G823" t="s">
        <v>461</v>
      </c>
      <c r="H823" t="str">
        <f t="shared" si="25"/>
        <v>Jun</v>
      </c>
      <c r="I823" t="s">
        <v>60</v>
      </c>
      <c r="J823" t="s">
        <v>79</v>
      </c>
      <c r="K823" t="s">
        <v>2797</v>
      </c>
      <c r="L823" t="s">
        <v>73</v>
      </c>
      <c r="M823" t="s">
        <v>85</v>
      </c>
      <c r="N823">
        <v>5</v>
      </c>
      <c r="O823" t="s">
        <v>22</v>
      </c>
      <c r="P823">
        <v>3560.9</v>
      </c>
      <c r="Q823" t="s">
        <v>42</v>
      </c>
      <c r="R823" t="s">
        <v>43</v>
      </c>
      <c r="S823">
        <v>302001</v>
      </c>
      <c r="T823" t="s">
        <v>25</v>
      </c>
      <c r="U823" t="s">
        <v>26</v>
      </c>
    </row>
    <row r="824" spans="1:21" x14ac:dyDescent="0.3">
      <c r="A824">
        <v>823</v>
      </c>
      <c r="B824" t="s">
        <v>2798</v>
      </c>
      <c r="C824" t="s">
        <v>2799</v>
      </c>
      <c r="D824" t="s">
        <v>15</v>
      </c>
      <c r="E824">
        <v>44</v>
      </c>
      <c r="F824" t="str">
        <f t="shared" si="24"/>
        <v>Adult</v>
      </c>
      <c r="G824" t="s">
        <v>171</v>
      </c>
      <c r="H824" t="str">
        <f t="shared" si="25"/>
        <v>Jul</v>
      </c>
      <c r="I824" t="s">
        <v>60</v>
      </c>
      <c r="J824" t="s">
        <v>79</v>
      </c>
      <c r="K824" t="s">
        <v>2800</v>
      </c>
      <c r="L824" t="s">
        <v>56</v>
      </c>
      <c r="M824" t="s">
        <v>21</v>
      </c>
      <c r="N824">
        <v>2</v>
      </c>
      <c r="O824" t="s">
        <v>22</v>
      </c>
      <c r="P824">
        <v>4857.5600000000004</v>
      </c>
      <c r="Q824" t="s">
        <v>51</v>
      </c>
      <c r="R824" t="s">
        <v>51</v>
      </c>
      <c r="S824">
        <v>110001</v>
      </c>
      <c r="T824" t="s">
        <v>25</v>
      </c>
      <c r="U824" t="s">
        <v>44</v>
      </c>
    </row>
    <row r="825" spans="1:21" x14ac:dyDescent="0.3">
      <c r="A825">
        <v>824</v>
      </c>
      <c r="B825" t="s">
        <v>2801</v>
      </c>
      <c r="C825" t="s">
        <v>2802</v>
      </c>
      <c r="D825" t="s">
        <v>15</v>
      </c>
      <c r="E825">
        <v>39</v>
      </c>
      <c r="F825" t="str">
        <f t="shared" si="24"/>
        <v>Adult</v>
      </c>
      <c r="G825" t="s">
        <v>504</v>
      </c>
      <c r="H825" t="str">
        <f t="shared" si="25"/>
        <v>Jun</v>
      </c>
      <c r="I825" t="s">
        <v>60</v>
      </c>
      <c r="J825" t="s">
        <v>79</v>
      </c>
      <c r="K825" t="s">
        <v>2803</v>
      </c>
      <c r="L825" t="s">
        <v>20</v>
      </c>
      <c r="M825" t="s">
        <v>85</v>
      </c>
      <c r="N825">
        <v>4</v>
      </c>
      <c r="O825" t="s">
        <v>22</v>
      </c>
      <c r="P825">
        <v>3457.81</v>
      </c>
      <c r="Q825" t="s">
        <v>74</v>
      </c>
      <c r="R825" t="s">
        <v>75</v>
      </c>
      <c r="S825">
        <v>226001</v>
      </c>
      <c r="T825" t="s">
        <v>25</v>
      </c>
      <c r="U825" t="s">
        <v>26</v>
      </c>
    </row>
    <row r="826" spans="1:21" x14ac:dyDescent="0.3">
      <c r="A826">
        <v>825</v>
      </c>
      <c r="B826" t="s">
        <v>2804</v>
      </c>
      <c r="C826" t="s">
        <v>2805</v>
      </c>
      <c r="D826" t="s">
        <v>29</v>
      </c>
      <c r="E826">
        <v>55</v>
      </c>
      <c r="F826" t="str">
        <f t="shared" si="24"/>
        <v>Senior</v>
      </c>
      <c r="G826" t="s">
        <v>939</v>
      </c>
      <c r="H826" t="str">
        <f t="shared" si="25"/>
        <v>Aug</v>
      </c>
      <c r="I826" t="s">
        <v>60</v>
      </c>
      <c r="J826" t="s">
        <v>79</v>
      </c>
      <c r="K826" t="s">
        <v>2806</v>
      </c>
      <c r="L826" t="s">
        <v>107</v>
      </c>
      <c r="M826" t="s">
        <v>85</v>
      </c>
      <c r="N826">
        <v>2</v>
      </c>
      <c r="O826" t="s">
        <v>22</v>
      </c>
      <c r="P826">
        <v>895.38</v>
      </c>
      <c r="Q826" t="s">
        <v>35</v>
      </c>
      <c r="R826" t="s">
        <v>36</v>
      </c>
      <c r="S826">
        <v>560001</v>
      </c>
      <c r="T826" t="s">
        <v>25</v>
      </c>
      <c r="U826" t="s">
        <v>44</v>
      </c>
    </row>
    <row r="827" spans="1:21" x14ac:dyDescent="0.3">
      <c r="A827">
        <v>826</v>
      </c>
      <c r="B827" t="s">
        <v>2807</v>
      </c>
      <c r="C827" t="s">
        <v>2808</v>
      </c>
      <c r="D827" t="s">
        <v>15</v>
      </c>
      <c r="E827">
        <v>26</v>
      </c>
      <c r="F827" t="str">
        <f t="shared" si="24"/>
        <v>Teenager</v>
      </c>
      <c r="G827" t="s">
        <v>546</v>
      </c>
      <c r="H827" t="str">
        <f t="shared" si="25"/>
        <v>Sep</v>
      </c>
      <c r="I827" t="s">
        <v>60</v>
      </c>
      <c r="J827" t="s">
        <v>79</v>
      </c>
      <c r="K827" t="s">
        <v>2809</v>
      </c>
      <c r="L827" t="s">
        <v>107</v>
      </c>
      <c r="M827" t="s">
        <v>34</v>
      </c>
      <c r="N827">
        <v>4</v>
      </c>
      <c r="O827" t="s">
        <v>22</v>
      </c>
      <c r="P827">
        <v>4061.15</v>
      </c>
      <c r="Q827" t="s">
        <v>74</v>
      </c>
      <c r="R827" t="s">
        <v>75</v>
      </c>
      <c r="S827">
        <v>226001</v>
      </c>
      <c r="T827" t="s">
        <v>25</v>
      </c>
      <c r="U827" t="s">
        <v>26</v>
      </c>
    </row>
    <row r="828" spans="1:21" x14ac:dyDescent="0.3">
      <c r="A828">
        <v>827</v>
      </c>
      <c r="B828" t="s">
        <v>2810</v>
      </c>
      <c r="C828" t="s">
        <v>2811</v>
      </c>
      <c r="D828" t="s">
        <v>15</v>
      </c>
      <c r="E828">
        <v>24</v>
      </c>
      <c r="F828" t="str">
        <f t="shared" si="24"/>
        <v>Teenager</v>
      </c>
      <c r="G828" t="s">
        <v>2045</v>
      </c>
      <c r="H828" t="str">
        <f t="shared" si="25"/>
        <v>Apr</v>
      </c>
      <c r="I828" t="s">
        <v>60</v>
      </c>
      <c r="J828" t="s">
        <v>79</v>
      </c>
      <c r="K828" t="s">
        <v>2812</v>
      </c>
      <c r="L828" t="s">
        <v>62</v>
      </c>
      <c r="M828" t="s">
        <v>21</v>
      </c>
      <c r="N828">
        <v>1</v>
      </c>
      <c r="O828" t="s">
        <v>22</v>
      </c>
      <c r="P828">
        <v>1207</v>
      </c>
      <c r="Q828" t="s">
        <v>51</v>
      </c>
      <c r="R828" t="s">
        <v>51</v>
      </c>
      <c r="S828">
        <v>110001</v>
      </c>
      <c r="T828" t="s">
        <v>25</v>
      </c>
      <c r="U828" t="s">
        <v>44</v>
      </c>
    </row>
    <row r="829" spans="1:21" x14ac:dyDescent="0.3">
      <c r="A829">
        <v>828</v>
      </c>
      <c r="B829" t="s">
        <v>2813</v>
      </c>
      <c r="C829" t="s">
        <v>2814</v>
      </c>
      <c r="D829" t="s">
        <v>15</v>
      </c>
      <c r="E829">
        <v>58</v>
      </c>
      <c r="F829" t="str">
        <f t="shared" si="24"/>
        <v>Senior</v>
      </c>
      <c r="G829" t="s">
        <v>666</v>
      </c>
      <c r="H829" t="str">
        <f t="shared" si="25"/>
        <v>Aug</v>
      </c>
      <c r="I829" t="s">
        <v>60</v>
      </c>
      <c r="J829" t="s">
        <v>79</v>
      </c>
      <c r="K829" t="s">
        <v>2815</v>
      </c>
      <c r="L829" t="s">
        <v>20</v>
      </c>
      <c r="M829" t="s">
        <v>34</v>
      </c>
      <c r="N829">
        <v>4</v>
      </c>
      <c r="O829" t="s">
        <v>22</v>
      </c>
      <c r="P829">
        <v>1126.6099999999999</v>
      </c>
      <c r="Q829" t="s">
        <v>74</v>
      </c>
      <c r="R829" t="s">
        <v>75</v>
      </c>
      <c r="S829">
        <v>226001</v>
      </c>
      <c r="T829" t="s">
        <v>25</v>
      </c>
      <c r="U829" t="s">
        <v>44</v>
      </c>
    </row>
    <row r="830" spans="1:21" x14ac:dyDescent="0.3">
      <c r="A830">
        <v>829</v>
      </c>
      <c r="B830" t="s">
        <v>2816</v>
      </c>
      <c r="C830" t="s">
        <v>2817</v>
      </c>
      <c r="D830" t="s">
        <v>15</v>
      </c>
      <c r="E830">
        <v>54</v>
      </c>
      <c r="F830" t="str">
        <f t="shared" si="24"/>
        <v>Senior</v>
      </c>
      <c r="G830" t="s">
        <v>1122</v>
      </c>
      <c r="H830" t="str">
        <f t="shared" si="25"/>
        <v>Nov</v>
      </c>
      <c r="I830" t="s">
        <v>60</v>
      </c>
      <c r="J830" t="s">
        <v>79</v>
      </c>
      <c r="K830" t="s">
        <v>2818</v>
      </c>
      <c r="L830" t="s">
        <v>62</v>
      </c>
      <c r="M830" t="s">
        <v>50</v>
      </c>
      <c r="N830">
        <v>4</v>
      </c>
      <c r="O830" t="s">
        <v>22</v>
      </c>
      <c r="P830">
        <v>1586.42</v>
      </c>
      <c r="Q830" t="s">
        <v>74</v>
      </c>
      <c r="R830" t="s">
        <v>75</v>
      </c>
      <c r="S830">
        <v>226001</v>
      </c>
      <c r="T830" t="s">
        <v>25</v>
      </c>
      <c r="U830" t="s">
        <v>44</v>
      </c>
    </row>
    <row r="831" spans="1:21" x14ac:dyDescent="0.3">
      <c r="A831">
        <v>830</v>
      </c>
      <c r="B831" t="s">
        <v>2819</v>
      </c>
      <c r="C831" t="s">
        <v>2820</v>
      </c>
      <c r="D831" t="s">
        <v>15</v>
      </c>
      <c r="E831">
        <v>55</v>
      </c>
      <c r="F831" t="str">
        <f t="shared" si="24"/>
        <v>Senior</v>
      </c>
      <c r="G831" t="s">
        <v>621</v>
      </c>
      <c r="H831" t="str">
        <f t="shared" si="25"/>
        <v>Dec</v>
      </c>
      <c r="I831" t="s">
        <v>60</v>
      </c>
      <c r="J831" t="s">
        <v>79</v>
      </c>
      <c r="K831" t="s">
        <v>2821</v>
      </c>
      <c r="L831" t="s">
        <v>62</v>
      </c>
      <c r="M831" t="s">
        <v>50</v>
      </c>
      <c r="N831">
        <v>1</v>
      </c>
      <c r="O831" t="s">
        <v>22</v>
      </c>
      <c r="P831">
        <v>1480.32</v>
      </c>
      <c r="Q831" t="s">
        <v>23</v>
      </c>
      <c r="R831" t="s">
        <v>24</v>
      </c>
      <c r="S831">
        <v>400001</v>
      </c>
      <c r="T831" t="s">
        <v>25</v>
      </c>
      <c r="U831" t="s">
        <v>26</v>
      </c>
    </row>
    <row r="832" spans="1:21" x14ac:dyDescent="0.3">
      <c r="A832">
        <v>831</v>
      </c>
      <c r="B832" t="s">
        <v>2822</v>
      </c>
      <c r="C832" t="s">
        <v>2823</v>
      </c>
      <c r="D832" t="s">
        <v>15</v>
      </c>
      <c r="E832">
        <v>56</v>
      </c>
      <c r="F832" t="str">
        <f t="shared" si="24"/>
        <v>Senior</v>
      </c>
      <c r="G832" t="s">
        <v>806</v>
      </c>
      <c r="H832" t="str">
        <f t="shared" si="25"/>
        <v>Jun</v>
      </c>
      <c r="I832" t="s">
        <v>60</v>
      </c>
      <c r="J832" t="s">
        <v>79</v>
      </c>
      <c r="K832" t="s">
        <v>2824</v>
      </c>
      <c r="L832" t="s">
        <v>33</v>
      </c>
      <c r="M832" t="s">
        <v>34</v>
      </c>
      <c r="N832">
        <v>3</v>
      </c>
      <c r="O832" t="s">
        <v>22</v>
      </c>
      <c r="P832">
        <v>1980.37</v>
      </c>
      <c r="Q832" t="s">
        <v>23</v>
      </c>
      <c r="R832" t="s">
        <v>24</v>
      </c>
      <c r="S832">
        <v>400001</v>
      </c>
      <c r="T832" t="s">
        <v>25</v>
      </c>
      <c r="U832" t="s">
        <v>44</v>
      </c>
    </row>
    <row r="833" spans="1:21" x14ac:dyDescent="0.3">
      <c r="A833">
        <v>832</v>
      </c>
      <c r="B833" t="s">
        <v>2825</v>
      </c>
      <c r="C833" t="s">
        <v>2826</v>
      </c>
      <c r="D833" t="s">
        <v>15</v>
      </c>
      <c r="E833">
        <v>24</v>
      </c>
      <c r="F833" t="str">
        <f t="shared" si="24"/>
        <v>Teenager</v>
      </c>
      <c r="G833" t="s">
        <v>469</v>
      </c>
      <c r="H833" t="str">
        <f t="shared" si="25"/>
        <v>Mar</v>
      </c>
      <c r="I833" t="s">
        <v>60</v>
      </c>
      <c r="J833" t="s">
        <v>79</v>
      </c>
      <c r="K833" t="s">
        <v>2827</v>
      </c>
      <c r="L833" t="s">
        <v>20</v>
      </c>
      <c r="M833" t="s">
        <v>85</v>
      </c>
      <c r="N833">
        <v>3</v>
      </c>
      <c r="O833" t="s">
        <v>22</v>
      </c>
      <c r="P833">
        <v>3417.58</v>
      </c>
      <c r="Q833" t="s">
        <v>35</v>
      </c>
      <c r="R833" t="s">
        <v>36</v>
      </c>
      <c r="S833">
        <v>560001</v>
      </c>
      <c r="T833" t="s">
        <v>25</v>
      </c>
      <c r="U833" t="s">
        <v>44</v>
      </c>
    </row>
    <row r="834" spans="1:21" x14ac:dyDescent="0.3">
      <c r="A834">
        <v>833</v>
      </c>
      <c r="B834" t="s">
        <v>2828</v>
      </c>
      <c r="C834" t="s">
        <v>2829</v>
      </c>
      <c r="D834" t="s">
        <v>15</v>
      </c>
      <c r="E834">
        <v>50</v>
      </c>
      <c r="F834" t="str">
        <f t="shared" si="24"/>
        <v>Senior</v>
      </c>
      <c r="G834" t="s">
        <v>2317</v>
      </c>
      <c r="H834" t="str">
        <f t="shared" si="25"/>
        <v>Jun</v>
      </c>
      <c r="I834" t="s">
        <v>60</v>
      </c>
      <c r="J834" t="s">
        <v>79</v>
      </c>
      <c r="K834" t="s">
        <v>2830</v>
      </c>
      <c r="L834" t="s">
        <v>62</v>
      </c>
      <c r="M834" t="s">
        <v>85</v>
      </c>
      <c r="N834">
        <v>2</v>
      </c>
      <c r="O834" t="s">
        <v>22</v>
      </c>
      <c r="P834">
        <v>3486.43</v>
      </c>
      <c r="Q834" t="s">
        <v>74</v>
      </c>
      <c r="R834" t="s">
        <v>24</v>
      </c>
      <c r="S834">
        <v>226001</v>
      </c>
      <c r="T834" t="s">
        <v>25</v>
      </c>
      <c r="U834" t="s">
        <v>26</v>
      </c>
    </row>
    <row r="835" spans="1:21" x14ac:dyDescent="0.3">
      <c r="A835">
        <v>834</v>
      </c>
      <c r="B835" t="s">
        <v>2831</v>
      </c>
      <c r="C835" t="s">
        <v>2832</v>
      </c>
      <c r="D835" t="s">
        <v>15</v>
      </c>
      <c r="E835">
        <v>24</v>
      </c>
      <c r="F835" t="str">
        <f t="shared" ref="F835:F898" si="26">IF(E835&gt;=50,"Senior", IF(E835&gt;=30, "Adult","Teenager"))</f>
        <v>Teenager</v>
      </c>
      <c r="G835" t="s">
        <v>878</v>
      </c>
      <c r="H835" t="str">
        <f t="shared" ref="H835:H898" si="27">TEXT(G835,"MMM")</f>
        <v>Feb</v>
      </c>
      <c r="I835" t="s">
        <v>60</v>
      </c>
      <c r="J835" t="s">
        <v>79</v>
      </c>
      <c r="K835" t="s">
        <v>2833</v>
      </c>
      <c r="L835" t="s">
        <v>107</v>
      </c>
      <c r="M835" t="s">
        <v>50</v>
      </c>
      <c r="N835">
        <v>5</v>
      </c>
      <c r="O835" t="s">
        <v>22</v>
      </c>
      <c r="P835">
        <v>4135.8500000000004</v>
      </c>
      <c r="Q835" t="s">
        <v>51</v>
      </c>
      <c r="R835" t="s">
        <v>51</v>
      </c>
      <c r="S835">
        <v>110001</v>
      </c>
      <c r="T835" t="s">
        <v>25</v>
      </c>
      <c r="U835" t="s">
        <v>26</v>
      </c>
    </row>
    <row r="836" spans="1:21" x14ac:dyDescent="0.3">
      <c r="A836">
        <v>835</v>
      </c>
      <c r="B836" t="s">
        <v>2834</v>
      </c>
      <c r="C836" t="s">
        <v>2835</v>
      </c>
      <c r="D836" t="s">
        <v>15</v>
      </c>
      <c r="E836">
        <v>28</v>
      </c>
      <c r="F836" t="str">
        <f t="shared" si="26"/>
        <v>Teenager</v>
      </c>
      <c r="G836" t="s">
        <v>2836</v>
      </c>
      <c r="H836" t="str">
        <f t="shared" si="27"/>
        <v>Mar</v>
      </c>
      <c r="I836" t="s">
        <v>60</v>
      </c>
      <c r="J836" t="s">
        <v>79</v>
      </c>
      <c r="K836" t="s">
        <v>2837</v>
      </c>
      <c r="L836" t="s">
        <v>107</v>
      </c>
      <c r="M836" t="s">
        <v>34</v>
      </c>
      <c r="N836">
        <v>5</v>
      </c>
      <c r="O836" t="s">
        <v>22</v>
      </c>
      <c r="P836">
        <v>595.32000000000005</v>
      </c>
      <c r="Q836" t="s">
        <v>23</v>
      </c>
      <c r="R836" t="s">
        <v>24</v>
      </c>
      <c r="S836">
        <v>400001</v>
      </c>
      <c r="T836" t="s">
        <v>25</v>
      </c>
      <c r="U836" t="s">
        <v>44</v>
      </c>
    </row>
    <row r="837" spans="1:21" x14ac:dyDescent="0.3">
      <c r="A837">
        <v>836</v>
      </c>
      <c r="B837" t="s">
        <v>2838</v>
      </c>
      <c r="C837" t="s">
        <v>2839</v>
      </c>
      <c r="D837" t="s">
        <v>15</v>
      </c>
      <c r="E837">
        <v>24</v>
      </c>
      <c r="F837" t="str">
        <f t="shared" si="26"/>
        <v>Teenager</v>
      </c>
      <c r="G837" t="s">
        <v>1004</v>
      </c>
      <c r="H837" t="str">
        <f t="shared" si="27"/>
        <v>Nov</v>
      </c>
      <c r="I837" t="s">
        <v>60</v>
      </c>
      <c r="J837" t="s">
        <v>79</v>
      </c>
      <c r="K837" t="s">
        <v>2840</v>
      </c>
      <c r="L837" t="s">
        <v>56</v>
      </c>
      <c r="M837" t="s">
        <v>34</v>
      </c>
      <c r="N837">
        <v>5</v>
      </c>
      <c r="O837" t="s">
        <v>22</v>
      </c>
      <c r="P837">
        <v>386.7</v>
      </c>
      <c r="Q837" t="s">
        <v>42</v>
      </c>
      <c r="R837" t="s">
        <v>43</v>
      </c>
      <c r="S837">
        <v>302001</v>
      </c>
      <c r="T837" t="s">
        <v>25</v>
      </c>
      <c r="U837" t="s">
        <v>44</v>
      </c>
    </row>
    <row r="838" spans="1:21" x14ac:dyDescent="0.3">
      <c r="A838">
        <v>837</v>
      </c>
      <c r="B838" t="s">
        <v>2841</v>
      </c>
      <c r="C838" t="s">
        <v>2842</v>
      </c>
      <c r="D838" t="s">
        <v>15</v>
      </c>
      <c r="E838">
        <v>19</v>
      </c>
      <c r="F838" t="str">
        <f t="shared" si="26"/>
        <v>Teenager</v>
      </c>
      <c r="G838" t="s">
        <v>2843</v>
      </c>
      <c r="H838" t="str">
        <f t="shared" si="27"/>
        <v>Jul</v>
      </c>
      <c r="I838" t="s">
        <v>60</v>
      </c>
      <c r="J838" t="s">
        <v>79</v>
      </c>
      <c r="K838" t="s">
        <v>2844</v>
      </c>
      <c r="L838" t="s">
        <v>20</v>
      </c>
      <c r="M838" t="s">
        <v>21</v>
      </c>
      <c r="N838">
        <v>4</v>
      </c>
      <c r="O838" t="s">
        <v>22</v>
      </c>
      <c r="P838">
        <v>3375.2</v>
      </c>
      <c r="Q838" t="s">
        <v>74</v>
      </c>
      <c r="R838" t="s">
        <v>75</v>
      </c>
      <c r="S838">
        <v>226001</v>
      </c>
      <c r="T838" t="s">
        <v>25</v>
      </c>
      <c r="U838" t="s">
        <v>26</v>
      </c>
    </row>
    <row r="839" spans="1:21" x14ac:dyDescent="0.3">
      <c r="A839">
        <v>838</v>
      </c>
      <c r="B839" t="s">
        <v>2845</v>
      </c>
      <c r="C839" t="s">
        <v>2846</v>
      </c>
      <c r="D839" t="s">
        <v>15</v>
      </c>
      <c r="E839">
        <v>38</v>
      </c>
      <c r="F839" t="str">
        <f t="shared" si="26"/>
        <v>Adult</v>
      </c>
      <c r="G839" t="s">
        <v>902</v>
      </c>
      <c r="H839" t="str">
        <f t="shared" si="27"/>
        <v>Dec</v>
      </c>
      <c r="I839" t="s">
        <v>60</v>
      </c>
      <c r="J839" t="s">
        <v>79</v>
      </c>
      <c r="K839" t="s">
        <v>2847</v>
      </c>
      <c r="L839" t="s">
        <v>73</v>
      </c>
      <c r="M839" t="s">
        <v>34</v>
      </c>
      <c r="N839">
        <v>5</v>
      </c>
      <c r="O839" t="s">
        <v>22</v>
      </c>
      <c r="P839">
        <v>2098.84</v>
      </c>
      <c r="Q839" t="s">
        <v>74</v>
      </c>
      <c r="R839" t="s">
        <v>75</v>
      </c>
      <c r="S839">
        <v>226001</v>
      </c>
      <c r="T839" t="s">
        <v>25</v>
      </c>
      <c r="U839" t="s">
        <v>26</v>
      </c>
    </row>
    <row r="840" spans="1:21" x14ac:dyDescent="0.3">
      <c r="A840">
        <v>839</v>
      </c>
      <c r="B840" t="s">
        <v>2848</v>
      </c>
      <c r="C840" t="s">
        <v>2294</v>
      </c>
      <c r="D840" t="s">
        <v>15</v>
      </c>
      <c r="E840">
        <v>41</v>
      </c>
      <c r="F840" t="str">
        <f t="shared" si="26"/>
        <v>Adult</v>
      </c>
      <c r="G840" t="s">
        <v>449</v>
      </c>
      <c r="H840" t="str">
        <f t="shared" si="27"/>
        <v>Aug</v>
      </c>
      <c r="I840" t="s">
        <v>60</v>
      </c>
      <c r="J840" t="s">
        <v>79</v>
      </c>
      <c r="K840" t="s">
        <v>2849</v>
      </c>
      <c r="L840" t="s">
        <v>56</v>
      </c>
      <c r="M840" t="s">
        <v>21</v>
      </c>
      <c r="N840">
        <v>1</v>
      </c>
      <c r="O840" t="s">
        <v>22</v>
      </c>
      <c r="P840">
        <v>3155.68</v>
      </c>
      <c r="Q840" t="s">
        <v>51</v>
      </c>
      <c r="R840" t="s">
        <v>51</v>
      </c>
      <c r="S840">
        <v>110001</v>
      </c>
      <c r="T840" t="s">
        <v>25</v>
      </c>
      <c r="U840" t="s">
        <v>44</v>
      </c>
    </row>
    <row r="841" spans="1:21" x14ac:dyDescent="0.3">
      <c r="A841">
        <v>840</v>
      </c>
      <c r="B841" t="s">
        <v>2850</v>
      </c>
      <c r="C841" t="s">
        <v>2851</v>
      </c>
      <c r="D841" t="s">
        <v>15</v>
      </c>
      <c r="E841">
        <v>23</v>
      </c>
      <c r="F841" t="str">
        <f t="shared" si="26"/>
        <v>Teenager</v>
      </c>
      <c r="G841" t="s">
        <v>1016</v>
      </c>
      <c r="H841" t="str">
        <f t="shared" si="27"/>
        <v>Aug</v>
      </c>
      <c r="I841" t="s">
        <v>60</v>
      </c>
      <c r="J841" t="s">
        <v>79</v>
      </c>
      <c r="K841" t="s">
        <v>2852</v>
      </c>
      <c r="L841" t="s">
        <v>73</v>
      </c>
      <c r="M841" t="s">
        <v>34</v>
      </c>
      <c r="N841">
        <v>4</v>
      </c>
      <c r="O841" t="s">
        <v>22</v>
      </c>
      <c r="P841">
        <v>2929.27</v>
      </c>
      <c r="Q841" t="s">
        <v>23</v>
      </c>
      <c r="R841" t="s">
        <v>24</v>
      </c>
      <c r="S841">
        <v>400001</v>
      </c>
      <c r="T841" t="s">
        <v>25</v>
      </c>
      <c r="U841" t="s">
        <v>44</v>
      </c>
    </row>
    <row r="842" spans="1:21" x14ac:dyDescent="0.3">
      <c r="A842">
        <v>841</v>
      </c>
      <c r="B842" t="s">
        <v>2853</v>
      </c>
      <c r="C842" t="s">
        <v>2234</v>
      </c>
      <c r="D842" t="s">
        <v>15</v>
      </c>
      <c r="E842">
        <v>35</v>
      </c>
      <c r="F842" t="str">
        <f t="shared" si="26"/>
        <v>Adult</v>
      </c>
      <c r="G842" t="s">
        <v>696</v>
      </c>
      <c r="H842" t="str">
        <f t="shared" si="27"/>
        <v>Feb</v>
      </c>
      <c r="I842" t="s">
        <v>60</v>
      </c>
      <c r="J842" t="s">
        <v>79</v>
      </c>
      <c r="K842" t="s">
        <v>2854</v>
      </c>
      <c r="L842" t="s">
        <v>56</v>
      </c>
      <c r="M842" t="s">
        <v>34</v>
      </c>
      <c r="N842">
        <v>5</v>
      </c>
      <c r="O842" t="s">
        <v>22</v>
      </c>
      <c r="P842">
        <v>1627</v>
      </c>
      <c r="Q842" t="s">
        <v>51</v>
      </c>
      <c r="R842" t="s">
        <v>51</v>
      </c>
      <c r="S842">
        <v>110001</v>
      </c>
      <c r="T842" t="s">
        <v>25</v>
      </c>
      <c r="U842" t="s">
        <v>26</v>
      </c>
    </row>
    <row r="843" spans="1:21" x14ac:dyDescent="0.3">
      <c r="A843">
        <v>842</v>
      </c>
      <c r="B843" t="s">
        <v>2855</v>
      </c>
      <c r="C843" t="s">
        <v>2856</v>
      </c>
      <c r="D843" t="s">
        <v>15</v>
      </c>
      <c r="E843">
        <v>44</v>
      </c>
      <c r="F843" t="str">
        <f t="shared" si="26"/>
        <v>Adult</v>
      </c>
      <c r="G843" t="s">
        <v>1836</v>
      </c>
      <c r="H843" t="str">
        <f t="shared" si="27"/>
        <v>Jul</v>
      </c>
      <c r="I843" t="s">
        <v>60</v>
      </c>
      <c r="J843" t="s">
        <v>79</v>
      </c>
      <c r="K843" t="s">
        <v>2857</v>
      </c>
      <c r="L843" t="s">
        <v>20</v>
      </c>
      <c r="M843" t="s">
        <v>85</v>
      </c>
      <c r="N843">
        <v>5</v>
      </c>
      <c r="O843" t="s">
        <v>22</v>
      </c>
      <c r="P843">
        <v>872.59</v>
      </c>
      <c r="Q843" t="s">
        <v>51</v>
      </c>
      <c r="R843" t="s">
        <v>51</v>
      </c>
      <c r="S843">
        <v>110001</v>
      </c>
      <c r="T843" t="s">
        <v>25</v>
      </c>
      <c r="U843" t="s">
        <v>26</v>
      </c>
    </row>
    <row r="844" spans="1:21" x14ac:dyDescent="0.3">
      <c r="A844">
        <v>843</v>
      </c>
      <c r="B844" t="s">
        <v>2858</v>
      </c>
      <c r="C844" t="s">
        <v>2859</v>
      </c>
      <c r="D844" t="s">
        <v>15</v>
      </c>
      <c r="E844">
        <v>20</v>
      </c>
      <c r="F844" t="str">
        <f t="shared" si="26"/>
        <v>Teenager</v>
      </c>
      <c r="G844" t="s">
        <v>853</v>
      </c>
      <c r="H844" t="str">
        <f t="shared" si="27"/>
        <v>Jan</v>
      </c>
      <c r="I844" t="s">
        <v>60</v>
      </c>
      <c r="J844" t="s">
        <v>79</v>
      </c>
      <c r="K844" t="s">
        <v>2860</v>
      </c>
      <c r="L844" t="s">
        <v>56</v>
      </c>
      <c r="M844" t="s">
        <v>21</v>
      </c>
      <c r="N844">
        <v>1</v>
      </c>
      <c r="O844" t="s">
        <v>22</v>
      </c>
      <c r="P844">
        <v>3336.13</v>
      </c>
      <c r="Q844" t="s">
        <v>74</v>
      </c>
      <c r="R844" t="s">
        <v>75</v>
      </c>
      <c r="S844">
        <v>226001</v>
      </c>
      <c r="T844" t="s">
        <v>25</v>
      </c>
      <c r="U844" t="s">
        <v>44</v>
      </c>
    </row>
    <row r="845" spans="1:21" x14ac:dyDescent="0.3">
      <c r="A845">
        <v>844</v>
      </c>
      <c r="B845" t="s">
        <v>2861</v>
      </c>
      <c r="C845" t="s">
        <v>2862</v>
      </c>
      <c r="D845" t="s">
        <v>15</v>
      </c>
      <c r="E845">
        <v>40</v>
      </c>
      <c r="F845" t="str">
        <f t="shared" si="26"/>
        <v>Adult</v>
      </c>
      <c r="G845" t="s">
        <v>539</v>
      </c>
      <c r="H845" t="str">
        <f t="shared" si="27"/>
        <v>May</v>
      </c>
      <c r="I845" t="s">
        <v>60</v>
      </c>
      <c r="J845" t="s">
        <v>79</v>
      </c>
      <c r="K845" t="s">
        <v>2863</v>
      </c>
      <c r="L845" t="s">
        <v>33</v>
      </c>
      <c r="M845" t="s">
        <v>34</v>
      </c>
      <c r="N845">
        <v>5</v>
      </c>
      <c r="O845" t="s">
        <v>22</v>
      </c>
      <c r="P845">
        <v>1811.54</v>
      </c>
      <c r="Q845" t="s">
        <v>35</v>
      </c>
      <c r="R845" t="s">
        <v>36</v>
      </c>
      <c r="S845">
        <v>560001</v>
      </c>
      <c r="T845" t="s">
        <v>25</v>
      </c>
      <c r="U845" t="s">
        <v>26</v>
      </c>
    </row>
    <row r="846" spans="1:21" x14ac:dyDescent="0.3">
      <c r="A846">
        <v>845</v>
      </c>
      <c r="B846" t="s">
        <v>2864</v>
      </c>
      <c r="C846" t="s">
        <v>613</v>
      </c>
      <c r="D846" t="s">
        <v>15</v>
      </c>
      <c r="E846">
        <v>30</v>
      </c>
      <c r="F846" t="str">
        <f t="shared" si="26"/>
        <v>Adult</v>
      </c>
      <c r="G846" t="s">
        <v>230</v>
      </c>
      <c r="H846" t="str">
        <f t="shared" si="27"/>
        <v>Jan</v>
      </c>
      <c r="I846" t="s">
        <v>60</v>
      </c>
      <c r="J846" t="s">
        <v>79</v>
      </c>
      <c r="K846" t="s">
        <v>2865</v>
      </c>
      <c r="L846" t="s">
        <v>107</v>
      </c>
      <c r="M846" t="s">
        <v>34</v>
      </c>
      <c r="N846">
        <v>5</v>
      </c>
      <c r="O846" t="s">
        <v>22</v>
      </c>
      <c r="P846">
        <v>3578.15</v>
      </c>
      <c r="Q846" t="s">
        <v>35</v>
      </c>
      <c r="R846" t="s">
        <v>36</v>
      </c>
      <c r="S846">
        <v>560001</v>
      </c>
      <c r="T846" t="s">
        <v>25</v>
      </c>
      <c r="U846" t="s">
        <v>26</v>
      </c>
    </row>
    <row r="847" spans="1:21" x14ac:dyDescent="0.3">
      <c r="A847">
        <v>846</v>
      </c>
      <c r="B847" t="s">
        <v>2866</v>
      </c>
      <c r="C847" t="s">
        <v>2867</v>
      </c>
      <c r="D847" t="s">
        <v>15</v>
      </c>
      <c r="E847">
        <v>54</v>
      </c>
      <c r="F847" t="str">
        <f t="shared" si="26"/>
        <v>Senior</v>
      </c>
      <c r="G847" t="s">
        <v>909</v>
      </c>
      <c r="H847" t="str">
        <f t="shared" si="27"/>
        <v>Jun</v>
      </c>
      <c r="I847" t="s">
        <v>60</v>
      </c>
      <c r="J847" t="s">
        <v>79</v>
      </c>
      <c r="K847" t="s">
        <v>2868</v>
      </c>
      <c r="L847" t="s">
        <v>73</v>
      </c>
      <c r="M847" t="s">
        <v>85</v>
      </c>
      <c r="N847">
        <v>3</v>
      </c>
      <c r="O847" t="s">
        <v>22</v>
      </c>
      <c r="P847">
        <v>721.98</v>
      </c>
      <c r="Q847" t="s">
        <v>35</v>
      </c>
      <c r="R847" t="s">
        <v>36</v>
      </c>
      <c r="S847">
        <v>560001</v>
      </c>
      <c r="T847" t="s">
        <v>25</v>
      </c>
      <c r="U847" t="s">
        <v>26</v>
      </c>
    </row>
    <row r="848" spans="1:21" x14ac:dyDescent="0.3">
      <c r="A848">
        <v>847</v>
      </c>
      <c r="B848" t="s">
        <v>2869</v>
      </c>
      <c r="C848" t="s">
        <v>2870</v>
      </c>
      <c r="D848" t="s">
        <v>15</v>
      </c>
      <c r="E848">
        <v>20</v>
      </c>
      <c r="F848" t="str">
        <f t="shared" si="26"/>
        <v>Teenager</v>
      </c>
      <c r="G848" t="s">
        <v>2871</v>
      </c>
      <c r="H848" t="str">
        <f t="shared" si="27"/>
        <v>Jul</v>
      </c>
      <c r="I848" t="s">
        <v>60</v>
      </c>
      <c r="J848" t="s">
        <v>31</v>
      </c>
      <c r="K848" t="s">
        <v>2872</v>
      </c>
      <c r="L848" t="s">
        <v>20</v>
      </c>
      <c r="M848" t="s">
        <v>85</v>
      </c>
      <c r="N848">
        <v>5</v>
      </c>
      <c r="O848" t="s">
        <v>22</v>
      </c>
      <c r="P848">
        <v>1423.07</v>
      </c>
      <c r="Q848" t="s">
        <v>42</v>
      </c>
      <c r="R848" t="s">
        <v>43</v>
      </c>
      <c r="S848">
        <v>302001</v>
      </c>
      <c r="T848" t="s">
        <v>25</v>
      </c>
      <c r="U848" t="s">
        <v>44</v>
      </c>
    </row>
    <row r="849" spans="1:21" x14ac:dyDescent="0.3">
      <c r="A849">
        <v>848</v>
      </c>
      <c r="B849" t="s">
        <v>2873</v>
      </c>
      <c r="C849" t="s">
        <v>2874</v>
      </c>
      <c r="D849" t="s">
        <v>15</v>
      </c>
      <c r="E849">
        <v>30</v>
      </c>
      <c r="F849" t="str">
        <f t="shared" si="26"/>
        <v>Adult</v>
      </c>
      <c r="G849" t="s">
        <v>1228</v>
      </c>
      <c r="H849" t="str">
        <f t="shared" si="27"/>
        <v>Sep</v>
      </c>
      <c r="I849" t="s">
        <v>60</v>
      </c>
      <c r="J849" t="s">
        <v>71</v>
      </c>
      <c r="K849" t="s">
        <v>2875</v>
      </c>
      <c r="L849" t="s">
        <v>20</v>
      </c>
      <c r="M849" t="s">
        <v>21</v>
      </c>
      <c r="N849">
        <v>4</v>
      </c>
      <c r="O849" t="s">
        <v>22</v>
      </c>
      <c r="P849">
        <v>3528.11</v>
      </c>
      <c r="Q849" t="s">
        <v>51</v>
      </c>
      <c r="R849" t="s">
        <v>51</v>
      </c>
      <c r="S849">
        <v>110001</v>
      </c>
      <c r="T849" t="s">
        <v>25</v>
      </c>
      <c r="U849" t="s">
        <v>26</v>
      </c>
    </row>
    <row r="850" spans="1:21" x14ac:dyDescent="0.3">
      <c r="A850">
        <v>849</v>
      </c>
      <c r="B850" t="s">
        <v>2876</v>
      </c>
      <c r="C850" t="s">
        <v>2877</v>
      </c>
      <c r="D850" t="s">
        <v>15</v>
      </c>
      <c r="E850">
        <v>31</v>
      </c>
      <c r="F850" t="str">
        <f t="shared" si="26"/>
        <v>Adult</v>
      </c>
      <c r="G850" t="s">
        <v>2317</v>
      </c>
      <c r="H850" t="str">
        <f t="shared" si="27"/>
        <v>Jun</v>
      </c>
      <c r="I850" t="s">
        <v>60</v>
      </c>
      <c r="J850" t="s">
        <v>71</v>
      </c>
      <c r="K850" t="s">
        <v>2878</v>
      </c>
      <c r="L850" t="s">
        <v>56</v>
      </c>
      <c r="M850" t="s">
        <v>34</v>
      </c>
      <c r="N850">
        <v>2</v>
      </c>
      <c r="O850" t="s">
        <v>22</v>
      </c>
      <c r="P850">
        <v>1825.79</v>
      </c>
      <c r="Q850" t="s">
        <v>74</v>
      </c>
      <c r="R850" t="s">
        <v>24</v>
      </c>
      <c r="S850">
        <v>226001</v>
      </c>
      <c r="T850" t="s">
        <v>25</v>
      </c>
      <c r="U850" t="s">
        <v>44</v>
      </c>
    </row>
    <row r="851" spans="1:21" x14ac:dyDescent="0.3">
      <c r="A851">
        <v>850</v>
      </c>
      <c r="B851" t="s">
        <v>2879</v>
      </c>
      <c r="C851" t="s">
        <v>2880</v>
      </c>
      <c r="D851" t="s">
        <v>15</v>
      </c>
      <c r="E851">
        <v>55</v>
      </c>
      <c r="F851" t="str">
        <f t="shared" si="26"/>
        <v>Senior</v>
      </c>
      <c r="G851" t="s">
        <v>1087</v>
      </c>
      <c r="H851" t="str">
        <f t="shared" si="27"/>
        <v>Oct</v>
      </c>
      <c r="I851" t="s">
        <v>60</v>
      </c>
      <c r="J851" t="s">
        <v>31</v>
      </c>
      <c r="K851" t="s">
        <v>2881</v>
      </c>
      <c r="L851" t="s">
        <v>62</v>
      </c>
      <c r="M851" t="s">
        <v>50</v>
      </c>
      <c r="N851">
        <v>4</v>
      </c>
      <c r="O851" t="s">
        <v>22</v>
      </c>
      <c r="P851">
        <v>4661.97</v>
      </c>
      <c r="Q851" t="s">
        <v>74</v>
      </c>
      <c r="R851" t="s">
        <v>24</v>
      </c>
      <c r="S851">
        <v>226001</v>
      </c>
      <c r="T851" t="s">
        <v>25</v>
      </c>
      <c r="U851" t="s">
        <v>44</v>
      </c>
    </row>
    <row r="852" spans="1:21" x14ac:dyDescent="0.3">
      <c r="A852">
        <v>851</v>
      </c>
      <c r="B852" t="s">
        <v>2882</v>
      </c>
      <c r="C852" t="s">
        <v>2883</v>
      </c>
      <c r="D852" t="s">
        <v>15</v>
      </c>
      <c r="E852">
        <v>26</v>
      </c>
      <c r="F852" t="str">
        <f t="shared" si="26"/>
        <v>Teenager</v>
      </c>
      <c r="G852" t="s">
        <v>2297</v>
      </c>
      <c r="H852" t="str">
        <f t="shared" si="27"/>
        <v>Dec</v>
      </c>
      <c r="I852" t="s">
        <v>60</v>
      </c>
      <c r="J852" t="s">
        <v>40</v>
      </c>
      <c r="K852" t="s">
        <v>2884</v>
      </c>
      <c r="L852" t="s">
        <v>33</v>
      </c>
      <c r="M852" t="s">
        <v>50</v>
      </c>
      <c r="N852">
        <v>4</v>
      </c>
      <c r="O852" t="s">
        <v>22</v>
      </c>
      <c r="P852">
        <v>1496.04</v>
      </c>
      <c r="Q852" t="s">
        <v>35</v>
      </c>
      <c r="R852" t="s">
        <v>24</v>
      </c>
      <c r="S852">
        <v>560001</v>
      </c>
      <c r="T852" t="s">
        <v>25</v>
      </c>
      <c r="U852" t="s">
        <v>44</v>
      </c>
    </row>
    <row r="853" spans="1:21" x14ac:dyDescent="0.3">
      <c r="A853">
        <v>852</v>
      </c>
      <c r="B853" t="s">
        <v>2885</v>
      </c>
      <c r="C853" t="s">
        <v>2886</v>
      </c>
      <c r="D853" t="s">
        <v>15</v>
      </c>
      <c r="E853">
        <v>32</v>
      </c>
      <c r="F853" t="str">
        <f t="shared" si="26"/>
        <v>Adult</v>
      </c>
      <c r="G853" t="s">
        <v>1264</v>
      </c>
      <c r="H853" t="str">
        <f t="shared" si="27"/>
        <v>Feb</v>
      </c>
      <c r="I853" t="s">
        <v>60</v>
      </c>
      <c r="J853" t="s">
        <v>71</v>
      </c>
      <c r="K853" t="s">
        <v>2887</v>
      </c>
      <c r="L853" t="s">
        <v>73</v>
      </c>
      <c r="M853" t="s">
        <v>34</v>
      </c>
      <c r="N853">
        <v>2</v>
      </c>
      <c r="O853" t="s">
        <v>22</v>
      </c>
      <c r="P853">
        <v>3378.37</v>
      </c>
      <c r="Q853" t="s">
        <v>23</v>
      </c>
      <c r="R853" t="s">
        <v>24</v>
      </c>
      <c r="S853">
        <v>400001</v>
      </c>
      <c r="T853" t="s">
        <v>25</v>
      </c>
      <c r="U853" t="s">
        <v>44</v>
      </c>
    </row>
    <row r="854" spans="1:21" x14ac:dyDescent="0.3">
      <c r="A854">
        <v>853</v>
      </c>
      <c r="B854" t="s">
        <v>2888</v>
      </c>
      <c r="C854" t="s">
        <v>2889</v>
      </c>
      <c r="D854" t="s">
        <v>15</v>
      </c>
      <c r="E854">
        <v>31</v>
      </c>
      <c r="F854" t="str">
        <f t="shared" si="26"/>
        <v>Adult</v>
      </c>
      <c r="G854" t="s">
        <v>1681</v>
      </c>
      <c r="H854" t="str">
        <f t="shared" si="27"/>
        <v>Mar</v>
      </c>
      <c r="I854" t="s">
        <v>60</v>
      </c>
      <c r="J854" t="s">
        <v>101</v>
      </c>
      <c r="K854" t="s">
        <v>2890</v>
      </c>
      <c r="L854" t="s">
        <v>20</v>
      </c>
      <c r="M854" t="s">
        <v>50</v>
      </c>
      <c r="N854">
        <v>5</v>
      </c>
      <c r="O854" t="s">
        <v>22</v>
      </c>
      <c r="P854">
        <v>3809.01</v>
      </c>
      <c r="Q854" t="s">
        <v>51</v>
      </c>
      <c r="R854" t="s">
        <v>51</v>
      </c>
      <c r="S854">
        <v>110001</v>
      </c>
      <c r="T854" t="s">
        <v>25</v>
      </c>
      <c r="U854" t="s">
        <v>44</v>
      </c>
    </row>
    <row r="855" spans="1:21" x14ac:dyDescent="0.3">
      <c r="A855">
        <v>854</v>
      </c>
      <c r="B855" t="s">
        <v>2891</v>
      </c>
      <c r="C855" t="s">
        <v>14</v>
      </c>
      <c r="D855" t="s">
        <v>15</v>
      </c>
      <c r="E855">
        <v>32</v>
      </c>
      <c r="F855" t="str">
        <f t="shared" si="26"/>
        <v>Adult</v>
      </c>
      <c r="G855" t="s">
        <v>674</v>
      </c>
      <c r="H855" t="str">
        <f t="shared" si="27"/>
        <v>Jun</v>
      </c>
      <c r="I855" t="s">
        <v>60</v>
      </c>
      <c r="J855" t="s">
        <v>31</v>
      </c>
      <c r="K855" t="s">
        <v>2892</v>
      </c>
      <c r="L855" t="s">
        <v>20</v>
      </c>
      <c r="M855" t="s">
        <v>85</v>
      </c>
      <c r="N855">
        <v>3</v>
      </c>
      <c r="O855" t="s">
        <v>22</v>
      </c>
      <c r="P855">
        <v>455.59</v>
      </c>
      <c r="Q855" t="s">
        <v>74</v>
      </c>
      <c r="R855" t="s">
        <v>24</v>
      </c>
      <c r="S855">
        <v>226001</v>
      </c>
      <c r="T855" t="s">
        <v>25</v>
      </c>
      <c r="U855" t="s">
        <v>44</v>
      </c>
    </row>
    <row r="856" spans="1:21" x14ac:dyDescent="0.3">
      <c r="A856">
        <v>855</v>
      </c>
      <c r="B856" t="s">
        <v>2893</v>
      </c>
      <c r="C856" t="s">
        <v>2894</v>
      </c>
      <c r="D856" t="s">
        <v>15</v>
      </c>
      <c r="E856">
        <v>37</v>
      </c>
      <c r="F856" t="str">
        <f t="shared" si="26"/>
        <v>Adult</v>
      </c>
      <c r="G856" t="s">
        <v>2895</v>
      </c>
      <c r="H856" t="str">
        <f t="shared" si="27"/>
        <v>May</v>
      </c>
      <c r="I856" t="s">
        <v>60</v>
      </c>
      <c r="J856" t="s">
        <v>71</v>
      </c>
      <c r="K856" t="s">
        <v>2896</v>
      </c>
      <c r="L856" t="s">
        <v>20</v>
      </c>
      <c r="M856" t="s">
        <v>21</v>
      </c>
      <c r="N856">
        <v>5</v>
      </c>
      <c r="O856" t="s">
        <v>22</v>
      </c>
      <c r="P856">
        <v>2365.7800000000002</v>
      </c>
      <c r="Q856" t="s">
        <v>23</v>
      </c>
      <c r="R856" t="s">
        <v>24</v>
      </c>
      <c r="S856">
        <v>400001</v>
      </c>
      <c r="T856" t="s">
        <v>25</v>
      </c>
      <c r="U856" t="s">
        <v>44</v>
      </c>
    </row>
    <row r="857" spans="1:21" x14ac:dyDescent="0.3">
      <c r="A857">
        <v>856</v>
      </c>
      <c r="B857" t="s">
        <v>2897</v>
      </c>
      <c r="C857" t="s">
        <v>2898</v>
      </c>
      <c r="D857" t="s">
        <v>15</v>
      </c>
      <c r="E857">
        <v>32</v>
      </c>
      <c r="F857" t="str">
        <f t="shared" si="26"/>
        <v>Adult</v>
      </c>
      <c r="G857" t="s">
        <v>864</v>
      </c>
      <c r="H857" t="str">
        <f t="shared" si="27"/>
        <v>May</v>
      </c>
      <c r="I857" t="s">
        <v>60</v>
      </c>
      <c r="J857" t="s">
        <v>31</v>
      </c>
      <c r="K857" t="s">
        <v>2899</v>
      </c>
      <c r="L857" t="s">
        <v>20</v>
      </c>
      <c r="M857" t="s">
        <v>50</v>
      </c>
      <c r="N857">
        <v>5</v>
      </c>
      <c r="O857" t="s">
        <v>22</v>
      </c>
      <c r="P857">
        <v>1619.51</v>
      </c>
      <c r="Q857" t="s">
        <v>23</v>
      </c>
      <c r="R857" t="s">
        <v>24</v>
      </c>
      <c r="S857">
        <v>400001</v>
      </c>
      <c r="T857" t="s">
        <v>25</v>
      </c>
      <c r="U857" t="s">
        <v>26</v>
      </c>
    </row>
    <row r="858" spans="1:21" x14ac:dyDescent="0.3">
      <c r="A858">
        <v>857</v>
      </c>
      <c r="B858" t="s">
        <v>2900</v>
      </c>
      <c r="C858" t="s">
        <v>2901</v>
      </c>
      <c r="D858" t="s">
        <v>15</v>
      </c>
      <c r="E858">
        <v>34</v>
      </c>
      <c r="F858" t="str">
        <f t="shared" si="26"/>
        <v>Adult</v>
      </c>
      <c r="G858" t="s">
        <v>2732</v>
      </c>
      <c r="H858" t="str">
        <f t="shared" si="27"/>
        <v>Aug</v>
      </c>
      <c r="I858" t="s">
        <v>60</v>
      </c>
      <c r="J858" t="s">
        <v>71</v>
      </c>
      <c r="K858" t="s">
        <v>2902</v>
      </c>
      <c r="L858" t="s">
        <v>107</v>
      </c>
      <c r="M858" t="s">
        <v>21</v>
      </c>
      <c r="N858">
        <v>4</v>
      </c>
      <c r="O858" t="s">
        <v>22</v>
      </c>
      <c r="P858">
        <v>3339.9</v>
      </c>
      <c r="Q858" t="s">
        <v>42</v>
      </c>
      <c r="R858" t="s">
        <v>43</v>
      </c>
      <c r="S858">
        <v>302001</v>
      </c>
      <c r="T858" t="s">
        <v>25</v>
      </c>
      <c r="U858" t="s">
        <v>26</v>
      </c>
    </row>
    <row r="859" spans="1:21" x14ac:dyDescent="0.3">
      <c r="A859">
        <v>858</v>
      </c>
      <c r="B859" t="s">
        <v>2903</v>
      </c>
      <c r="C859" t="s">
        <v>2904</v>
      </c>
      <c r="D859" t="s">
        <v>15</v>
      </c>
      <c r="E859">
        <v>24</v>
      </c>
      <c r="F859" t="str">
        <f t="shared" si="26"/>
        <v>Teenager</v>
      </c>
      <c r="G859" t="s">
        <v>580</v>
      </c>
      <c r="H859" t="str">
        <f t="shared" si="27"/>
        <v>May</v>
      </c>
      <c r="I859" t="s">
        <v>60</v>
      </c>
      <c r="J859" t="s">
        <v>79</v>
      </c>
      <c r="K859" t="s">
        <v>2905</v>
      </c>
      <c r="L859" t="s">
        <v>20</v>
      </c>
      <c r="M859" t="s">
        <v>85</v>
      </c>
      <c r="N859">
        <v>5</v>
      </c>
      <c r="O859" t="s">
        <v>22</v>
      </c>
      <c r="P859">
        <v>4370.97</v>
      </c>
      <c r="Q859" t="s">
        <v>35</v>
      </c>
      <c r="R859" t="s">
        <v>36</v>
      </c>
      <c r="S859">
        <v>560001</v>
      </c>
      <c r="T859" t="s">
        <v>25</v>
      </c>
      <c r="U859" t="s">
        <v>26</v>
      </c>
    </row>
    <row r="860" spans="1:21" x14ac:dyDescent="0.3">
      <c r="A860">
        <v>859</v>
      </c>
      <c r="B860" t="s">
        <v>2906</v>
      </c>
      <c r="C860" t="s">
        <v>2907</v>
      </c>
      <c r="D860" t="s">
        <v>15</v>
      </c>
      <c r="E860">
        <v>50</v>
      </c>
      <c r="F860" t="str">
        <f t="shared" si="26"/>
        <v>Senior</v>
      </c>
      <c r="G860" t="s">
        <v>346</v>
      </c>
      <c r="H860" t="str">
        <f t="shared" si="27"/>
        <v>Aug</v>
      </c>
      <c r="I860" t="s">
        <v>60</v>
      </c>
      <c r="J860" t="s">
        <v>79</v>
      </c>
      <c r="K860" t="s">
        <v>2908</v>
      </c>
      <c r="L860" t="s">
        <v>107</v>
      </c>
      <c r="M860" t="s">
        <v>85</v>
      </c>
      <c r="N860">
        <v>5</v>
      </c>
      <c r="O860" t="s">
        <v>22</v>
      </c>
      <c r="P860">
        <v>4190.42</v>
      </c>
      <c r="Q860" t="s">
        <v>51</v>
      </c>
      <c r="R860" t="s">
        <v>51</v>
      </c>
      <c r="S860">
        <v>110001</v>
      </c>
      <c r="T860" t="s">
        <v>25</v>
      </c>
      <c r="U860" t="s">
        <v>44</v>
      </c>
    </row>
    <row r="861" spans="1:21" x14ac:dyDescent="0.3">
      <c r="A861">
        <v>860</v>
      </c>
      <c r="B861" t="s">
        <v>2909</v>
      </c>
      <c r="C861" t="s">
        <v>2910</v>
      </c>
      <c r="D861" t="s">
        <v>15</v>
      </c>
      <c r="E861">
        <v>25</v>
      </c>
      <c r="F861" t="str">
        <f t="shared" si="26"/>
        <v>Teenager</v>
      </c>
      <c r="G861" t="s">
        <v>358</v>
      </c>
      <c r="H861" t="str">
        <f t="shared" si="27"/>
        <v>Jul</v>
      </c>
      <c r="I861" t="s">
        <v>60</v>
      </c>
      <c r="J861" t="s">
        <v>40</v>
      </c>
      <c r="K861" t="s">
        <v>2911</v>
      </c>
      <c r="L861" t="s">
        <v>33</v>
      </c>
      <c r="M861" t="s">
        <v>21</v>
      </c>
      <c r="N861">
        <v>4</v>
      </c>
      <c r="O861" t="s">
        <v>22</v>
      </c>
      <c r="P861">
        <v>2369.89</v>
      </c>
      <c r="Q861" t="s">
        <v>35</v>
      </c>
      <c r="R861" t="s">
        <v>36</v>
      </c>
      <c r="S861">
        <v>560001</v>
      </c>
      <c r="T861" t="s">
        <v>25</v>
      </c>
      <c r="U861" t="s">
        <v>44</v>
      </c>
    </row>
    <row r="862" spans="1:21" x14ac:dyDescent="0.3">
      <c r="A862">
        <v>861</v>
      </c>
      <c r="B862" t="s">
        <v>2912</v>
      </c>
      <c r="C862" t="s">
        <v>2913</v>
      </c>
      <c r="D862" t="s">
        <v>15</v>
      </c>
      <c r="E862">
        <v>46</v>
      </c>
      <c r="F862" t="str">
        <f t="shared" si="26"/>
        <v>Adult</v>
      </c>
      <c r="G862" t="s">
        <v>791</v>
      </c>
      <c r="H862" t="str">
        <f t="shared" si="27"/>
        <v>Apr</v>
      </c>
      <c r="I862" t="s">
        <v>60</v>
      </c>
      <c r="J862" t="s">
        <v>71</v>
      </c>
      <c r="K862" t="s">
        <v>2914</v>
      </c>
      <c r="L862" t="s">
        <v>33</v>
      </c>
      <c r="M862" t="s">
        <v>21</v>
      </c>
      <c r="N862">
        <v>3</v>
      </c>
      <c r="O862" t="s">
        <v>22</v>
      </c>
      <c r="P862">
        <v>2843.52</v>
      </c>
      <c r="Q862" t="s">
        <v>51</v>
      </c>
      <c r="R862" t="s">
        <v>51</v>
      </c>
      <c r="S862">
        <v>110001</v>
      </c>
      <c r="T862" t="s">
        <v>25</v>
      </c>
      <c r="U862" t="s">
        <v>44</v>
      </c>
    </row>
    <row r="863" spans="1:21" x14ac:dyDescent="0.3">
      <c r="A863">
        <v>862</v>
      </c>
      <c r="B863" t="s">
        <v>2915</v>
      </c>
      <c r="C863" t="s">
        <v>2916</v>
      </c>
      <c r="D863" t="s">
        <v>15</v>
      </c>
      <c r="E863">
        <v>50</v>
      </c>
      <c r="F863" t="str">
        <f t="shared" si="26"/>
        <v>Senior</v>
      </c>
      <c r="G863" t="s">
        <v>968</v>
      </c>
      <c r="H863" t="str">
        <f t="shared" si="27"/>
        <v>Mar</v>
      </c>
      <c r="I863" t="s">
        <v>60</v>
      </c>
      <c r="J863" t="s">
        <v>101</v>
      </c>
      <c r="K863" t="s">
        <v>2917</v>
      </c>
      <c r="L863" t="s">
        <v>73</v>
      </c>
      <c r="M863" t="s">
        <v>21</v>
      </c>
      <c r="N863">
        <v>4</v>
      </c>
      <c r="O863" t="s">
        <v>22</v>
      </c>
      <c r="P863">
        <v>2240.09</v>
      </c>
      <c r="Q863" t="s">
        <v>74</v>
      </c>
      <c r="R863" t="s">
        <v>75</v>
      </c>
      <c r="S863">
        <v>226001</v>
      </c>
      <c r="T863" t="s">
        <v>25</v>
      </c>
      <c r="U863" t="s">
        <v>44</v>
      </c>
    </row>
    <row r="864" spans="1:21" x14ac:dyDescent="0.3">
      <c r="A864">
        <v>863</v>
      </c>
      <c r="B864" t="s">
        <v>2918</v>
      </c>
      <c r="C864" t="s">
        <v>2671</v>
      </c>
      <c r="D864" t="s">
        <v>15</v>
      </c>
      <c r="E864">
        <v>48</v>
      </c>
      <c r="F864" t="str">
        <f t="shared" si="26"/>
        <v>Adult</v>
      </c>
      <c r="G864" t="s">
        <v>2736</v>
      </c>
      <c r="H864" t="str">
        <f t="shared" si="27"/>
        <v>Aug</v>
      </c>
      <c r="I864" t="s">
        <v>60</v>
      </c>
      <c r="J864" t="s">
        <v>18</v>
      </c>
      <c r="K864" t="s">
        <v>2919</v>
      </c>
      <c r="L864" t="s">
        <v>56</v>
      </c>
      <c r="M864" t="s">
        <v>21</v>
      </c>
      <c r="N864">
        <v>4</v>
      </c>
      <c r="O864" t="s">
        <v>22</v>
      </c>
      <c r="P864">
        <v>1861.04</v>
      </c>
      <c r="Q864" t="s">
        <v>42</v>
      </c>
      <c r="R864" t="s">
        <v>43</v>
      </c>
      <c r="S864">
        <v>302001</v>
      </c>
      <c r="T864" t="s">
        <v>25</v>
      </c>
      <c r="U864" t="s">
        <v>26</v>
      </c>
    </row>
    <row r="865" spans="1:21" x14ac:dyDescent="0.3">
      <c r="A865">
        <v>864</v>
      </c>
      <c r="B865" t="s">
        <v>2920</v>
      </c>
      <c r="C865" t="s">
        <v>2921</v>
      </c>
      <c r="D865" t="s">
        <v>15</v>
      </c>
      <c r="E865">
        <v>30</v>
      </c>
      <c r="F865" t="str">
        <f t="shared" si="26"/>
        <v>Adult</v>
      </c>
      <c r="G865" t="s">
        <v>564</v>
      </c>
      <c r="H865" t="str">
        <f t="shared" si="27"/>
        <v>Apr</v>
      </c>
      <c r="I865" t="s">
        <v>60</v>
      </c>
      <c r="J865" t="s">
        <v>71</v>
      </c>
      <c r="K865" t="s">
        <v>2922</v>
      </c>
      <c r="L865" t="s">
        <v>20</v>
      </c>
      <c r="M865" t="s">
        <v>21</v>
      </c>
      <c r="N865">
        <v>1</v>
      </c>
      <c r="O865" t="s">
        <v>22</v>
      </c>
      <c r="P865">
        <v>2590.2600000000002</v>
      </c>
      <c r="Q865" t="s">
        <v>42</v>
      </c>
      <c r="R865" t="s">
        <v>43</v>
      </c>
      <c r="S865">
        <v>302001</v>
      </c>
      <c r="T865" t="s">
        <v>25</v>
      </c>
      <c r="U865" t="s">
        <v>26</v>
      </c>
    </row>
    <row r="866" spans="1:21" x14ac:dyDescent="0.3">
      <c r="A866">
        <v>865</v>
      </c>
      <c r="B866" t="s">
        <v>2923</v>
      </c>
      <c r="C866" t="s">
        <v>2924</v>
      </c>
      <c r="D866" t="s">
        <v>15</v>
      </c>
      <c r="E866">
        <v>33</v>
      </c>
      <c r="F866" t="str">
        <f t="shared" si="26"/>
        <v>Adult</v>
      </c>
      <c r="G866" t="s">
        <v>426</v>
      </c>
      <c r="H866" t="str">
        <f t="shared" si="27"/>
        <v>Nov</v>
      </c>
      <c r="I866" t="s">
        <v>60</v>
      </c>
      <c r="J866" t="s">
        <v>101</v>
      </c>
      <c r="K866" t="s">
        <v>2925</v>
      </c>
      <c r="L866" t="s">
        <v>62</v>
      </c>
      <c r="M866" t="s">
        <v>85</v>
      </c>
      <c r="N866">
        <v>5</v>
      </c>
      <c r="O866" t="s">
        <v>22</v>
      </c>
      <c r="P866">
        <v>4877.26</v>
      </c>
      <c r="Q866" t="s">
        <v>51</v>
      </c>
      <c r="R866" t="s">
        <v>51</v>
      </c>
      <c r="S866">
        <v>110001</v>
      </c>
      <c r="T866" t="s">
        <v>25</v>
      </c>
      <c r="U866" t="s">
        <v>44</v>
      </c>
    </row>
    <row r="867" spans="1:21" x14ac:dyDescent="0.3">
      <c r="A867">
        <v>866</v>
      </c>
      <c r="B867" t="s">
        <v>2926</v>
      </c>
      <c r="C867" t="s">
        <v>2927</v>
      </c>
      <c r="D867" t="s">
        <v>15</v>
      </c>
      <c r="E867">
        <v>28</v>
      </c>
      <c r="F867" t="str">
        <f t="shared" si="26"/>
        <v>Teenager</v>
      </c>
      <c r="G867" t="s">
        <v>913</v>
      </c>
      <c r="H867" t="str">
        <f t="shared" si="27"/>
        <v>Jul</v>
      </c>
      <c r="I867" t="s">
        <v>60</v>
      </c>
      <c r="J867" t="s">
        <v>101</v>
      </c>
      <c r="K867" t="s">
        <v>2928</v>
      </c>
      <c r="L867" t="s">
        <v>33</v>
      </c>
      <c r="M867" t="s">
        <v>85</v>
      </c>
      <c r="N867">
        <v>4</v>
      </c>
      <c r="O867" t="s">
        <v>22</v>
      </c>
      <c r="P867">
        <v>1872.18</v>
      </c>
      <c r="Q867" t="s">
        <v>35</v>
      </c>
      <c r="R867" t="s">
        <v>36</v>
      </c>
      <c r="S867">
        <v>560001</v>
      </c>
      <c r="T867" t="s">
        <v>25</v>
      </c>
      <c r="U867" t="s">
        <v>26</v>
      </c>
    </row>
    <row r="868" spans="1:21" x14ac:dyDescent="0.3">
      <c r="A868">
        <v>867</v>
      </c>
      <c r="B868" t="s">
        <v>2929</v>
      </c>
      <c r="C868" t="s">
        <v>2930</v>
      </c>
      <c r="D868" t="s">
        <v>15</v>
      </c>
      <c r="E868">
        <v>52</v>
      </c>
      <c r="F868" t="str">
        <f t="shared" si="26"/>
        <v>Senior</v>
      </c>
      <c r="G868" t="s">
        <v>520</v>
      </c>
      <c r="H868" t="str">
        <f t="shared" si="27"/>
        <v>Sep</v>
      </c>
      <c r="I868" t="s">
        <v>60</v>
      </c>
      <c r="J868" t="s">
        <v>40</v>
      </c>
      <c r="K868" t="s">
        <v>2931</v>
      </c>
      <c r="L868" t="s">
        <v>33</v>
      </c>
      <c r="M868" t="s">
        <v>50</v>
      </c>
      <c r="N868">
        <v>4</v>
      </c>
      <c r="O868" t="s">
        <v>22</v>
      </c>
      <c r="P868">
        <v>4542.7</v>
      </c>
      <c r="Q868" t="s">
        <v>74</v>
      </c>
      <c r="R868" t="s">
        <v>75</v>
      </c>
      <c r="S868">
        <v>226001</v>
      </c>
      <c r="T868" t="s">
        <v>25</v>
      </c>
      <c r="U868" t="s">
        <v>26</v>
      </c>
    </row>
    <row r="869" spans="1:21" x14ac:dyDescent="0.3">
      <c r="A869">
        <v>868</v>
      </c>
      <c r="B869" t="s">
        <v>2932</v>
      </c>
      <c r="C869" t="s">
        <v>2933</v>
      </c>
      <c r="D869" t="s">
        <v>15</v>
      </c>
      <c r="E869">
        <v>25</v>
      </c>
      <c r="F869" t="str">
        <f t="shared" si="26"/>
        <v>Teenager</v>
      </c>
      <c r="G869" t="s">
        <v>163</v>
      </c>
      <c r="H869" t="str">
        <f t="shared" si="27"/>
        <v>Mar</v>
      </c>
      <c r="I869" t="s">
        <v>60</v>
      </c>
      <c r="J869" t="s">
        <v>31</v>
      </c>
      <c r="K869" t="s">
        <v>2934</v>
      </c>
      <c r="L869" t="s">
        <v>62</v>
      </c>
      <c r="M869" t="s">
        <v>50</v>
      </c>
      <c r="N869">
        <v>3</v>
      </c>
      <c r="O869" t="s">
        <v>22</v>
      </c>
      <c r="P869">
        <v>2850.33</v>
      </c>
      <c r="Q869" t="s">
        <v>23</v>
      </c>
      <c r="R869" t="s">
        <v>24</v>
      </c>
      <c r="S869">
        <v>400001</v>
      </c>
      <c r="T869" t="s">
        <v>25</v>
      </c>
      <c r="U869" t="s">
        <v>26</v>
      </c>
    </row>
    <row r="870" spans="1:21" x14ac:dyDescent="0.3">
      <c r="A870">
        <v>869</v>
      </c>
      <c r="B870" t="s">
        <v>2935</v>
      </c>
      <c r="C870" t="s">
        <v>2936</v>
      </c>
      <c r="D870" t="s">
        <v>15</v>
      </c>
      <c r="E870">
        <v>40</v>
      </c>
      <c r="F870" t="str">
        <f t="shared" si="26"/>
        <v>Adult</v>
      </c>
      <c r="G870" t="s">
        <v>1332</v>
      </c>
      <c r="H870" t="str">
        <f t="shared" si="27"/>
        <v>Apr</v>
      </c>
      <c r="I870" t="s">
        <v>60</v>
      </c>
      <c r="J870" t="s">
        <v>79</v>
      </c>
      <c r="K870" t="s">
        <v>2937</v>
      </c>
      <c r="L870" t="s">
        <v>107</v>
      </c>
      <c r="M870" t="s">
        <v>85</v>
      </c>
      <c r="N870">
        <v>1</v>
      </c>
      <c r="O870" t="s">
        <v>22</v>
      </c>
      <c r="P870">
        <v>3854.82</v>
      </c>
      <c r="Q870" t="s">
        <v>42</v>
      </c>
      <c r="R870" t="s">
        <v>43</v>
      </c>
      <c r="S870">
        <v>302001</v>
      </c>
      <c r="T870" t="s">
        <v>25</v>
      </c>
      <c r="U870" t="s">
        <v>44</v>
      </c>
    </row>
    <row r="871" spans="1:21" x14ac:dyDescent="0.3">
      <c r="A871">
        <v>870</v>
      </c>
      <c r="B871" t="s">
        <v>2938</v>
      </c>
      <c r="C871" t="s">
        <v>2939</v>
      </c>
      <c r="D871" t="s">
        <v>15</v>
      </c>
      <c r="E871">
        <v>26</v>
      </c>
      <c r="F871" t="str">
        <f t="shared" si="26"/>
        <v>Teenager</v>
      </c>
      <c r="G871" t="s">
        <v>1129</v>
      </c>
      <c r="H871" t="str">
        <f t="shared" si="27"/>
        <v>Nov</v>
      </c>
      <c r="I871" t="s">
        <v>60</v>
      </c>
      <c r="J871" t="s">
        <v>31</v>
      </c>
      <c r="K871" t="s">
        <v>2940</v>
      </c>
      <c r="L871" t="s">
        <v>107</v>
      </c>
      <c r="M871" t="s">
        <v>85</v>
      </c>
      <c r="N871">
        <v>3</v>
      </c>
      <c r="O871" t="s">
        <v>22</v>
      </c>
      <c r="P871">
        <v>2405.59</v>
      </c>
      <c r="Q871" t="s">
        <v>74</v>
      </c>
      <c r="R871" t="s">
        <v>75</v>
      </c>
      <c r="S871">
        <v>226001</v>
      </c>
      <c r="T871" t="s">
        <v>25</v>
      </c>
      <c r="U871" t="s">
        <v>26</v>
      </c>
    </row>
    <row r="872" spans="1:21" x14ac:dyDescent="0.3">
      <c r="A872">
        <v>871</v>
      </c>
      <c r="B872" t="s">
        <v>2941</v>
      </c>
      <c r="C872" t="s">
        <v>2942</v>
      </c>
      <c r="D872" t="s">
        <v>15</v>
      </c>
      <c r="E872">
        <v>34</v>
      </c>
      <c r="F872" t="str">
        <f t="shared" si="26"/>
        <v>Adult</v>
      </c>
      <c r="G872" t="s">
        <v>373</v>
      </c>
      <c r="H872" t="str">
        <f t="shared" si="27"/>
        <v>Sep</v>
      </c>
      <c r="I872" t="s">
        <v>60</v>
      </c>
      <c r="J872" t="s">
        <v>71</v>
      </c>
      <c r="K872" t="s">
        <v>2943</v>
      </c>
      <c r="L872" t="s">
        <v>33</v>
      </c>
      <c r="M872" t="s">
        <v>34</v>
      </c>
      <c r="N872">
        <v>2</v>
      </c>
      <c r="O872" t="s">
        <v>22</v>
      </c>
      <c r="P872">
        <v>3132.33</v>
      </c>
      <c r="Q872" t="s">
        <v>51</v>
      </c>
      <c r="R872" t="s">
        <v>51</v>
      </c>
      <c r="S872">
        <v>110001</v>
      </c>
      <c r="T872" t="s">
        <v>25</v>
      </c>
      <c r="U872" t="s">
        <v>44</v>
      </c>
    </row>
    <row r="873" spans="1:21" x14ac:dyDescent="0.3">
      <c r="A873">
        <v>872</v>
      </c>
      <c r="B873" t="s">
        <v>2944</v>
      </c>
      <c r="C873" t="s">
        <v>2945</v>
      </c>
      <c r="D873" t="s">
        <v>15</v>
      </c>
      <c r="E873">
        <v>60</v>
      </c>
      <c r="F873" t="str">
        <f t="shared" si="26"/>
        <v>Senior</v>
      </c>
      <c r="G873" t="s">
        <v>1535</v>
      </c>
      <c r="H873" t="str">
        <f t="shared" si="27"/>
        <v>Aug</v>
      </c>
      <c r="I873" t="s">
        <v>60</v>
      </c>
      <c r="J873" t="s">
        <v>40</v>
      </c>
      <c r="K873" t="s">
        <v>2946</v>
      </c>
      <c r="L873" t="s">
        <v>56</v>
      </c>
      <c r="M873" t="s">
        <v>85</v>
      </c>
      <c r="N873">
        <v>5</v>
      </c>
      <c r="O873" t="s">
        <v>22</v>
      </c>
      <c r="P873">
        <v>2657.91</v>
      </c>
      <c r="Q873" t="s">
        <v>23</v>
      </c>
      <c r="R873" t="s">
        <v>24</v>
      </c>
      <c r="S873">
        <v>400001</v>
      </c>
      <c r="T873" t="s">
        <v>25</v>
      </c>
      <c r="U873" t="s">
        <v>44</v>
      </c>
    </row>
    <row r="874" spans="1:21" x14ac:dyDescent="0.3">
      <c r="A874">
        <v>873</v>
      </c>
      <c r="B874" t="s">
        <v>2947</v>
      </c>
      <c r="C874" t="s">
        <v>2948</v>
      </c>
      <c r="D874" t="s">
        <v>15</v>
      </c>
      <c r="E874">
        <v>60</v>
      </c>
      <c r="F874" t="str">
        <f t="shared" si="26"/>
        <v>Senior</v>
      </c>
      <c r="G874" t="s">
        <v>163</v>
      </c>
      <c r="H874" t="str">
        <f t="shared" si="27"/>
        <v>Mar</v>
      </c>
      <c r="I874" t="s">
        <v>60</v>
      </c>
      <c r="J874" t="s">
        <v>31</v>
      </c>
      <c r="K874" t="s">
        <v>2949</v>
      </c>
      <c r="L874" t="s">
        <v>73</v>
      </c>
      <c r="M874" t="s">
        <v>34</v>
      </c>
      <c r="N874">
        <v>4</v>
      </c>
      <c r="O874" t="s">
        <v>22</v>
      </c>
      <c r="P874">
        <v>1944.53</v>
      </c>
      <c r="Q874" t="s">
        <v>42</v>
      </c>
      <c r="R874" t="s">
        <v>43</v>
      </c>
      <c r="S874">
        <v>302001</v>
      </c>
      <c r="T874" t="s">
        <v>25</v>
      </c>
      <c r="U874" t="s">
        <v>26</v>
      </c>
    </row>
    <row r="875" spans="1:21" x14ac:dyDescent="0.3">
      <c r="A875">
        <v>874</v>
      </c>
      <c r="B875" t="s">
        <v>2950</v>
      </c>
      <c r="C875" t="s">
        <v>2951</v>
      </c>
      <c r="D875" t="s">
        <v>15</v>
      </c>
      <c r="E875">
        <v>34</v>
      </c>
      <c r="F875" t="str">
        <f t="shared" si="26"/>
        <v>Adult</v>
      </c>
      <c r="G875" t="s">
        <v>1241</v>
      </c>
      <c r="H875" t="str">
        <f t="shared" si="27"/>
        <v>Apr</v>
      </c>
      <c r="I875" t="s">
        <v>60</v>
      </c>
      <c r="J875" t="s">
        <v>31</v>
      </c>
      <c r="K875" t="s">
        <v>2952</v>
      </c>
      <c r="L875" t="s">
        <v>73</v>
      </c>
      <c r="M875" t="s">
        <v>21</v>
      </c>
      <c r="N875">
        <v>5</v>
      </c>
      <c r="O875" t="s">
        <v>22</v>
      </c>
      <c r="P875">
        <v>1199.82</v>
      </c>
      <c r="Q875" t="s">
        <v>42</v>
      </c>
      <c r="R875" t="s">
        <v>43</v>
      </c>
      <c r="S875">
        <v>302001</v>
      </c>
      <c r="T875" t="s">
        <v>25</v>
      </c>
      <c r="U875" t="s">
        <v>26</v>
      </c>
    </row>
    <row r="876" spans="1:21" x14ac:dyDescent="0.3">
      <c r="A876">
        <v>875</v>
      </c>
      <c r="B876" t="s">
        <v>2953</v>
      </c>
      <c r="C876" t="s">
        <v>2954</v>
      </c>
      <c r="D876" t="s">
        <v>15</v>
      </c>
      <c r="E876">
        <v>40</v>
      </c>
      <c r="F876" t="str">
        <f t="shared" si="26"/>
        <v>Adult</v>
      </c>
      <c r="G876" t="s">
        <v>1325</v>
      </c>
      <c r="H876" t="str">
        <f t="shared" si="27"/>
        <v>May</v>
      </c>
      <c r="I876" t="s">
        <v>60</v>
      </c>
      <c r="J876" t="s">
        <v>71</v>
      </c>
      <c r="K876" t="s">
        <v>2955</v>
      </c>
      <c r="L876" t="s">
        <v>73</v>
      </c>
      <c r="M876" t="s">
        <v>21</v>
      </c>
      <c r="N876">
        <v>5</v>
      </c>
      <c r="O876" t="s">
        <v>22</v>
      </c>
      <c r="P876">
        <v>3091.73</v>
      </c>
      <c r="Q876" t="s">
        <v>74</v>
      </c>
      <c r="R876" t="s">
        <v>75</v>
      </c>
      <c r="S876">
        <v>226001</v>
      </c>
      <c r="T876" t="s">
        <v>25</v>
      </c>
      <c r="U876" t="s">
        <v>44</v>
      </c>
    </row>
    <row r="877" spans="1:21" x14ac:dyDescent="0.3">
      <c r="A877">
        <v>876</v>
      </c>
      <c r="B877" t="s">
        <v>2956</v>
      </c>
      <c r="C877" t="s">
        <v>2957</v>
      </c>
      <c r="D877" t="s">
        <v>15</v>
      </c>
      <c r="E877">
        <v>33</v>
      </c>
      <c r="F877" t="str">
        <f t="shared" si="26"/>
        <v>Adult</v>
      </c>
      <c r="G877" t="s">
        <v>500</v>
      </c>
      <c r="H877" t="str">
        <f t="shared" si="27"/>
        <v>May</v>
      </c>
      <c r="I877" t="s">
        <v>60</v>
      </c>
      <c r="J877" t="s">
        <v>71</v>
      </c>
      <c r="K877" t="s">
        <v>2958</v>
      </c>
      <c r="L877" t="s">
        <v>33</v>
      </c>
      <c r="M877" t="s">
        <v>34</v>
      </c>
      <c r="N877">
        <v>3</v>
      </c>
      <c r="O877" t="s">
        <v>22</v>
      </c>
      <c r="P877">
        <v>3774.36</v>
      </c>
      <c r="Q877" t="s">
        <v>42</v>
      </c>
      <c r="R877" t="s">
        <v>43</v>
      </c>
      <c r="S877">
        <v>302001</v>
      </c>
      <c r="T877" t="s">
        <v>25</v>
      </c>
      <c r="U877" t="s">
        <v>26</v>
      </c>
    </row>
    <row r="878" spans="1:21" x14ac:dyDescent="0.3">
      <c r="A878">
        <v>877</v>
      </c>
      <c r="B878" t="s">
        <v>2959</v>
      </c>
      <c r="C878" t="s">
        <v>2960</v>
      </c>
      <c r="D878" t="s">
        <v>15</v>
      </c>
      <c r="E878">
        <v>41</v>
      </c>
      <c r="F878" t="str">
        <f t="shared" si="26"/>
        <v>Adult</v>
      </c>
      <c r="G878" t="s">
        <v>2961</v>
      </c>
      <c r="H878" t="str">
        <f t="shared" si="27"/>
        <v>Jul</v>
      </c>
      <c r="I878" t="s">
        <v>60</v>
      </c>
      <c r="J878" t="s">
        <v>31</v>
      </c>
      <c r="K878" t="s">
        <v>2962</v>
      </c>
      <c r="L878" t="s">
        <v>73</v>
      </c>
      <c r="M878" t="s">
        <v>34</v>
      </c>
      <c r="N878">
        <v>4</v>
      </c>
      <c r="O878" t="s">
        <v>22</v>
      </c>
      <c r="P878">
        <v>1836.56</v>
      </c>
      <c r="Q878" t="s">
        <v>23</v>
      </c>
      <c r="R878" t="s">
        <v>24</v>
      </c>
      <c r="S878">
        <v>400001</v>
      </c>
      <c r="T878" t="s">
        <v>25</v>
      </c>
      <c r="U878" t="s">
        <v>26</v>
      </c>
    </row>
    <row r="879" spans="1:21" x14ac:dyDescent="0.3">
      <c r="A879">
        <v>878</v>
      </c>
      <c r="B879" t="s">
        <v>2963</v>
      </c>
      <c r="C879" t="s">
        <v>2964</v>
      </c>
      <c r="D879" t="s">
        <v>15</v>
      </c>
      <c r="E879">
        <v>28</v>
      </c>
      <c r="F879" t="str">
        <f t="shared" si="26"/>
        <v>Teenager</v>
      </c>
      <c r="G879" t="s">
        <v>1008</v>
      </c>
      <c r="H879" t="str">
        <f t="shared" si="27"/>
        <v>Sep</v>
      </c>
      <c r="I879" t="s">
        <v>60</v>
      </c>
      <c r="J879" t="s">
        <v>101</v>
      </c>
      <c r="K879" t="s">
        <v>2965</v>
      </c>
      <c r="L879" t="s">
        <v>20</v>
      </c>
      <c r="M879" t="s">
        <v>21</v>
      </c>
      <c r="N879">
        <v>4</v>
      </c>
      <c r="O879" t="s">
        <v>22</v>
      </c>
      <c r="P879">
        <v>347.22</v>
      </c>
      <c r="Q879" t="s">
        <v>35</v>
      </c>
      <c r="R879" t="s">
        <v>36</v>
      </c>
      <c r="S879">
        <v>560001</v>
      </c>
      <c r="T879" t="s">
        <v>25</v>
      </c>
      <c r="U879" t="s">
        <v>44</v>
      </c>
    </row>
    <row r="880" spans="1:21" x14ac:dyDescent="0.3">
      <c r="A880">
        <v>879</v>
      </c>
      <c r="B880" t="s">
        <v>2966</v>
      </c>
      <c r="C880" t="s">
        <v>2967</v>
      </c>
      <c r="D880" t="s">
        <v>15</v>
      </c>
      <c r="E880">
        <v>34</v>
      </c>
      <c r="F880" t="str">
        <f t="shared" si="26"/>
        <v>Adult</v>
      </c>
      <c r="G880" t="s">
        <v>1283</v>
      </c>
      <c r="H880" t="str">
        <f t="shared" si="27"/>
        <v>Jan</v>
      </c>
      <c r="I880" t="s">
        <v>60</v>
      </c>
      <c r="J880" t="s">
        <v>79</v>
      </c>
      <c r="K880" t="s">
        <v>2968</v>
      </c>
      <c r="L880" t="s">
        <v>62</v>
      </c>
      <c r="M880" t="s">
        <v>50</v>
      </c>
      <c r="N880">
        <v>2</v>
      </c>
      <c r="O880" t="s">
        <v>22</v>
      </c>
      <c r="P880">
        <v>1410.52</v>
      </c>
      <c r="Q880" t="s">
        <v>35</v>
      </c>
      <c r="R880" t="s">
        <v>36</v>
      </c>
      <c r="S880">
        <v>560001</v>
      </c>
      <c r="T880" t="s">
        <v>25</v>
      </c>
      <c r="U880" t="s">
        <v>26</v>
      </c>
    </row>
    <row r="881" spans="1:21" x14ac:dyDescent="0.3">
      <c r="A881">
        <v>880</v>
      </c>
      <c r="B881" t="s">
        <v>2969</v>
      </c>
      <c r="C881" t="s">
        <v>2970</v>
      </c>
      <c r="D881" t="s">
        <v>15</v>
      </c>
      <c r="E881">
        <v>22</v>
      </c>
      <c r="F881" t="str">
        <f t="shared" si="26"/>
        <v>Teenager</v>
      </c>
      <c r="G881" t="s">
        <v>1629</v>
      </c>
      <c r="H881" t="str">
        <f t="shared" si="27"/>
        <v>Sep</v>
      </c>
      <c r="I881" t="s">
        <v>60</v>
      </c>
      <c r="J881" t="s">
        <v>79</v>
      </c>
      <c r="K881" t="s">
        <v>2971</v>
      </c>
      <c r="L881" t="s">
        <v>56</v>
      </c>
      <c r="M881" t="s">
        <v>50</v>
      </c>
      <c r="N881">
        <v>4</v>
      </c>
      <c r="O881" t="s">
        <v>22</v>
      </c>
      <c r="P881">
        <v>2336.5500000000002</v>
      </c>
      <c r="Q881" t="s">
        <v>42</v>
      </c>
      <c r="R881" t="s">
        <v>43</v>
      </c>
      <c r="S881">
        <v>302001</v>
      </c>
      <c r="T881" t="s">
        <v>25</v>
      </c>
      <c r="U881" t="s">
        <v>44</v>
      </c>
    </row>
    <row r="882" spans="1:21" x14ac:dyDescent="0.3">
      <c r="A882">
        <v>881</v>
      </c>
      <c r="B882" t="s">
        <v>2972</v>
      </c>
      <c r="C882" t="s">
        <v>2973</v>
      </c>
      <c r="D882" t="s">
        <v>15</v>
      </c>
      <c r="E882">
        <v>58</v>
      </c>
      <c r="F882" t="str">
        <f t="shared" si="26"/>
        <v>Senior</v>
      </c>
      <c r="G882" t="s">
        <v>2974</v>
      </c>
      <c r="H882" t="str">
        <f t="shared" si="27"/>
        <v>Feb</v>
      </c>
      <c r="I882" t="s">
        <v>60</v>
      </c>
      <c r="J882" t="s">
        <v>71</v>
      </c>
      <c r="K882" t="s">
        <v>2975</v>
      </c>
      <c r="L882" t="s">
        <v>56</v>
      </c>
      <c r="M882" t="s">
        <v>50</v>
      </c>
      <c r="N882">
        <v>4</v>
      </c>
      <c r="O882" t="s">
        <v>22</v>
      </c>
      <c r="P882">
        <v>1370.3</v>
      </c>
      <c r="Q882" t="s">
        <v>51</v>
      </c>
      <c r="R882" t="s">
        <v>51</v>
      </c>
      <c r="S882">
        <v>110001</v>
      </c>
      <c r="T882" t="s">
        <v>25</v>
      </c>
      <c r="U882" t="s">
        <v>44</v>
      </c>
    </row>
    <row r="883" spans="1:21" x14ac:dyDescent="0.3">
      <c r="A883">
        <v>882</v>
      </c>
      <c r="B883" t="s">
        <v>2976</v>
      </c>
      <c r="C883" t="s">
        <v>2977</v>
      </c>
      <c r="D883" t="s">
        <v>15</v>
      </c>
      <c r="E883">
        <v>23</v>
      </c>
      <c r="F883" t="str">
        <f t="shared" si="26"/>
        <v>Teenager</v>
      </c>
      <c r="G883" t="s">
        <v>457</v>
      </c>
      <c r="H883" t="str">
        <f t="shared" si="27"/>
        <v>Oct</v>
      </c>
      <c r="I883" t="s">
        <v>60</v>
      </c>
      <c r="J883" t="s">
        <v>71</v>
      </c>
      <c r="K883" t="s">
        <v>2978</v>
      </c>
      <c r="L883" t="s">
        <v>33</v>
      </c>
      <c r="M883" t="s">
        <v>50</v>
      </c>
      <c r="N883">
        <v>4</v>
      </c>
      <c r="O883" t="s">
        <v>22</v>
      </c>
      <c r="P883">
        <v>3807.06</v>
      </c>
      <c r="Q883" t="s">
        <v>51</v>
      </c>
      <c r="R883" t="s">
        <v>51</v>
      </c>
      <c r="S883">
        <v>110001</v>
      </c>
      <c r="T883" t="s">
        <v>25</v>
      </c>
      <c r="U883" t="s">
        <v>44</v>
      </c>
    </row>
    <row r="884" spans="1:21" x14ac:dyDescent="0.3">
      <c r="A884">
        <v>883</v>
      </c>
      <c r="B884" t="s">
        <v>2979</v>
      </c>
      <c r="C884" t="s">
        <v>2980</v>
      </c>
      <c r="D884" t="s">
        <v>15</v>
      </c>
      <c r="E884">
        <v>42</v>
      </c>
      <c r="F884" t="str">
        <f t="shared" si="26"/>
        <v>Adult</v>
      </c>
      <c r="G884" t="s">
        <v>707</v>
      </c>
      <c r="H884" t="str">
        <f t="shared" si="27"/>
        <v>Apr</v>
      </c>
      <c r="I884" t="s">
        <v>60</v>
      </c>
      <c r="J884" t="s">
        <v>31</v>
      </c>
      <c r="K884" t="s">
        <v>2981</v>
      </c>
      <c r="L884" t="s">
        <v>20</v>
      </c>
      <c r="M884" t="s">
        <v>85</v>
      </c>
      <c r="N884">
        <v>3</v>
      </c>
      <c r="O884" t="s">
        <v>22</v>
      </c>
      <c r="P884">
        <v>2967.53</v>
      </c>
      <c r="Q884" t="s">
        <v>51</v>
      </c>
      <c r="R884" t="s">
        <v>51</v>
      </c>
      <c r="S884">
        <v>110001</v>
      </c>
      <c r="T884" t="s">
        <v>25</v>
      </c>
      <c r="U884" t="s">
        <v>44</v>
      </c>
    </row>
    <row r="885" spans="1:21" x14ac:dyDescent="0.3">
      <c r="A885">
        <v>884</v>
      </c>
      <c r="B885" t="s">
        <v>2982</v>
      </c>
      <c r="C885" t="s">
        <v>1483</v>
      </c>
      <c r="D885" t="s">
        <v>15</v>
      </c>
      <c r="E885">
        <v>38</v>
      </c>
      <c r="F885" t="str">
        <f t="shared" si="26"/>
        <v>Adult</v>
      </c>
      <c r="G885" t="s">
        <v>2983</v>
      </c>
      <c r="H885" t="str">
        <f t="shared" si="27"/>
        <v>Feb</v>
      </c>
      <c r="I885" t="s">
        <v>60</v>
      </c>
      <c r="J885" t="s">
        <v>71</v>
      </c>
      <c r="K885" t="s">
        <v>2984</v>
      </c>
      <c r="L885" t="s">
        <v>33</v>
      </c>
      <c r="M885" t="s">
        <v>50</v>
      </c>
      <c r="N885">
        <v>2</v>
      </c>
      <c r="O885" t="s">
        <v>22</v>
      </c>
      <c r="P885">
        <v>386.07</v>
      </c>
      <c r="Q885" t="s">
        <v>51</v>
      </c>
      <c r="R885" t="s">
        <v>51</v>
      </c>
      <c r="S885">
        <v>110001</v>
      </c>
      <c r="T885" t="s">
        <v>25</v>
      </c>
      <c r="U885" t="s">
        <v>44</v>
      </c>
    </row>
    <row r="886" spans="1:21" x14ac:dyDescent="0.3">
      <c r="A886">
        <v>885</v>
      </c>
      <c r="B886" t="s">
        <v>2985</v>
      </c>
      <c r="C886" t="s">
        <v>2986</v>
      </c>
      <c r="D886" t="s">
        <v>15</v>
      </c>
      <c r="E886">
        <v>35</v>
      </c>
      <c r="F886" t="str">
        <f t="shared" si="26"/>
        <v>Adult</v>
      </c>
      <c r="G886" t="s">
        <v>553</v>
      </c>
      <c r="H886" t="str">
        <f t="shared" si="27"/>
        <v>Nov</v>
      </c>
      <c r="I886" t="s">
        <v>60</v>
      </c>
      <c r="J886" t="s">
        <v>40</v>
      </c>
      <c r="K886" t="s">
        <v>2987</v>
      </c>
      <c r="L886" t="s">
        <v>62</v>
      </c>
      <c r="M886" t="s">
        <v>34</v>
      </c>
      <c r="N886">
        <v>1</v>
      </c>
      <c r="O886" t="s">
        <v>22</v>
      </c>
      <c r="P886">
        <v>923.38</v>
      </c>
      <c r="Q886" t="s">
        <v>42</v>
      </c>
      <c r="R886" t="s">
        <v>43</v>
      </c>
      <c r="S886">
        <v>302001</v>
      </c>
      <c r="T886" t="s">
        <v>25</v>
      </c>
      <c r="U886" t="s">
        <v>26</v>
      </c>
    </row>
    <row r="887" spans="1:21" x14ac:dyDescent="0.3">
      <c r="A887">
        <v>886</v>
      </c>
      <c r="B887" t="s">
        <v>2988</v>
      </c>
      <c r="C887" t="s">
        <v>2989</v>
      </c>
      <c r="D887" t="s">
        <v>15</v>
      </c>
      <c r="E887">
        <v>54</v>
      </c>
      <c r="F887" t="str">
        <f t="shared" si="26"/>
        <v>Senior</v>
      </c>
      <c r="G887" t="s">
        <v>415</v>
      </c>
      <c r="H887" t="str">
        <f t="shared" si="27"/>
        <v>Aug</v>
      </c>
      <c r="I887" t="s">
        <v>60</v>
      </c>
      <c r="J887" t="s">
        <v>101</v>
      </c>
      <c r="K887" t="s">
        <v>2990</v>
      </c>
      <c r="L887" t="s">
        <v>56</v>
      </c>
      <c r="M887" t="s">
        <v>21</v>
      </c>
      <c r="N887">
        <v>3</v>
      </c>
      <c r="O887" t="s">
        <v>22</v>
      </c>
      <c r="P887">
        <v>4321.82</v>
      </c>
      <c r="Q887" t="s">
        <v>35</v>
      </c>
      <c r="R887" t="s">
        <v>36</v>
      </c>
      <c r="S887">
        <v>560001</v>
      </c>
      <c r="T887" t="s">
        <v>25</v>
      </c>
      <c r="U887" t="s">
        <v>26</v>
      </c>
    </row>
    <row r="888" spans="1:21" x14ac:dyDescent="0.3">
      <c r="A888">
        <v>887</v>
      </c>
      <c r="B888" t="s">
        <v>2991</v>
      </c>
      <c r="C888" t="s">
        <v>2992</v>
      </c>
      <c r="D888" t="s">
        <v>15</v>
      </c>
      <c r="E888">
        <v>50</v>
      </c>
      <c r="F888" t="str">
        <f t="shared" si="26"/>
        <v>Senior</v>
      </c>
      <c r="G888" t="s">
        <v>878</v>
      </c>
      <c r="H888" t="str">
        <f t="shared" si="27"/>
        <v>Feb</v>
      </c>
      <c r="I888" t="s">
        <v>60</v>
      </c>
      <c r="J888" t="s">
        <v>18</v>
      </c>
      <c r="K888" t="s">
        <v>2993</v>
      </c>
      <c r="L888" t="s">
        <v>33</v>
      </c>
      <c r="M888" t="s">
        <v>50</v>
      </c>
      <c r="N888">
        <v>2</v>
      </c>
      <c r="O888" t="s">
        <v>22</v>
      </c>
      <c r="P888">
        <v>4699.1400000000003</v>
      </c>
      <c r="Q888" t="s">
        <v>74</v>
      </c>
      <c r="R888" t="s">
        <v>75</v>
      </c>
      <c r="S888">
        <v>226001</v>
      </c>
      <c r="T888" t="s">
        <v>25</v>
      </c>
      <c r="U888" t="s">
        <v>26</v>
      </c>
    </row>
    <row r="889" spans="1:21" x14ac:dyDescent="0.3">
      <c r="A889">
        <v>888</v>
      </c>
      <c r="B889" t="s">
        <v>2994</v>
      </c>
      <c r="C889" t="s">
        <v>2995</v>
      </c>
      <c r="D889" t="s">
        <v>15</v>
      </c>
      <c r="E889">
        <v>32</v>
      </c>
      <c r="F889" t="str">
        <f t="shared" si="26"/>
        <v>Adult</v>
      </c>
      <c r="G889" t="s">
        <v>1886</v>
      </c>
      <c r="H889" t="str">
        <f t="shared" si="27"/>
        <v>Jan</v>
      </c>
      <c r="I889" t="s">
        <v>60</v>
      </c>
      <c r="J889" t="s">
        <v>71</v>
      </c>
      <c r="K889" t="s">
        <v>2996</v>
      </c>
      <c r="L889" t="s">
        <v>20</v>
      </c>
      <c r="M889" t="s">
        <v>21</v>
      </c>
      <c r="N889">
        <v>3</v>
      </c>
      <c r="O889" t="s">
        <v>22</v>
      </c>
      <c r="P889">
        <v>995.41</v>
      </c>
      <c r="Q889" t="s">
        <v>42</v>
      </c>
      <c r="R889" t="s">
        <v>43</v>
      </c>
      <c r="S889">
        <v>302001</v>
      </c>
      <c r="T889" t="s">
        <v>25</v>
      </c>
      <c r="U889" t="s">
        <v>26</v>
      </c>
    </row>
    <row r="890" spans="1:21" x14ac:dyDescent="0.3">
      <c r="A890">
        <v>889</v>
      </c>
      <c r="B890" t="s">
        <v>2997</v>
      </c>
      <c r="C890" t="s">
        <v>2998</v>
      </c>
      <c r="D890" t="s">
        <v>15</v>
      </c>
      <c r="E890">
        <v>46</v>
      </c>
      <c r="F890" t="str">
        <f t="shared" si="26"/>
        <v>Adult</v>
      </c>
      <c r="G890" t="s">
        <v>266</v>
      </c>
      <c r="H890" t="str">
        <f t="shared" si="27"/>
        <v>May</v>
      </c>
      <c r="I890" t="s">
        <v>60</v>
      </c>
      <c r="J890" t="s">
        <v>79</v>
      </c>
      <c r="K890" t="s">
        <v>2999</v>
      </c>
      <c r="L890" t="s">
        <v>20</v>
      </c>
      <c r="M890" t="s">
        <v>85</v>
      </c>
      <c r="N890">
        <v>1</v>
      </c>
      <c r="O890" t="s">
        <v>22</v>
      </c>
      <c r="P890">
        <v>3186.78</v>
      </c>
      <c r="Q890" t="s">
        <v>35</v>
      </c>
      <c r="R890" t="s">
        <v>36</v>
      </c>
      <c r="S890">
        <v>560001</v>
      </c>
      <c r="T890" t="s">
        <v>25</v>
      </c>
      <c r="U890" t="s">
        <v>26</v>
      </c>
    </row>
    <row r="891" spans="1:21" x14ac:dyDescent="0.3">
      <c r="A891">
        <v>890</v>
      </c>
      <c r="B891" t="s">
        <v>3000</v>
      </c>
      <c r="C891" t="s">
        <v>3001</v>
      </c>
      <c r="D891" t="s">
        <v>15</v>
      </c>
      <c r="E891">
        <v>55</v>
      </c>
      <c r="F891" t="str">
        <f t="shared" si="26"/>
        <v>Senior</v>
      </c>
      <c r="G891" t="s">
        <v>159</v>
      </c>
      <c r="H891" t="str">
        <f t="shared" si="27"/>
        <v>Aug</v>
      </c>
      <c r="I891" t="s">
        <v>60</v>
      </c>
      <c r="J891" t="s">
        <v>79</v>
      </c>
      <c r="K891" t="s">
        <v>3002</v>
      </c>
      <c r="L891" t="s">
        <v>107</v>
      </c>
      <c r="M891" t="s">
        <v>21</v>
      </c>
      <c r="N891">
        <v>1</v>
      </c>
      <c r="O891" t="s">
        <v>22</v>
      </c>
      <c r="P891">
        <v>2873.52</v>
      </c>
      <c r="Q891" t="s">
        <v>74</v>
      </c>
      <c r="R891" t="s">
        <v>24</v>
      </c>
      <c r="S891">
        <v>226001</v>
      </c>
      <c r="T891" t="s">
        <v>25</v>
      </c>
      <c r="U891" t="s">
        <v>44</v>
      </c>
    </row>
    <row r="892" spans="1:21" x14ac:dyDescent="0.3">
      <c r="A892">
        <v>891</v>
      </c>
      <c r="B892" t="s">
        <v>3003</v>
      </c>
      <c r="C892" t="s">
        <v>3004</v>
      </c>
      <c r="D892" t="s">
        <v>15</v>
      </c>
      <c r="E892">
        <v>18</v>
      </c>
      <c r="F892" t="str">
        <f t="shared" si="26"/>
        <v>Teenager</v>
      </c>
      <c r="G892" t="s">
        <v>3005</v>
      </c>
      <c r="H892" t="str">
        <f t="shared" si="27"/>
        <v>Dec</v>
      </c>
      <c r="I892" t="s">
        <v>60</v>
      </c>
      <c r="J892" t="s">
        <v>79</v>
      </c>
      <c r="K892" t="s">
        <v>3006</v>
      </c>
      <c r="L892" t="s">
        <v>33</v>
      </c>
      <c r="M892" t="s">
        <v>50</v>
      </c>
      <c r="N892">
        <v>4</v>
      </c>
      <c r="O892" t="s">
        <v>22</v>
      </c>
      <c r="P892">
        <v>2596.1799999999998</v>
      </c>
      <c r="Q892" t="s">
        <v>35</v>
      </c>
      <c r="R892" t="s">
        <v>24</v>
      </c>
      <c r="S892">
        <v>560001</v>
      </c>
      <c r="T892" t="s">
        <v>25</v>
      </c>
      <c r="U892" t="s">
        <v>26</v>
      </c>
    </row>
    <row r="893" spans="1:21" x14ac:dyDescent="0.3">
      <c r="A893">
        <v>892</v>
      </c>
      <c r="B893" t="s">
        <v>3007</v>
      </c>
      <c r="C893" t="s">
        <v>3008</v>
      </c>
      <c r="D893" t="s">
        <v>15</v>
      </c>
      <c r="E893">
        <v>52</v>
      </c>
      <c r="F893" t="str">
        <f t="shared" si="26"/>
        <v>Senior</v>
      </c>
      <c r="G893" t="s">
        <v>59</v>
      </c>
      <c r="H893" t="str">
        <f t="shared" si="27"/>
        <v>Oct</v>
      </c>
      <c r="I893" t="s">
        <v>60</v>
      </c>
      <c r="J893" t="s">
        <v>79</v>
      </c>
      <c r="K893" t="s">
        <v>3009</v>
      </c>
      <c r="L893" t="s">
        <v>107</v>
      </c>
      <c r="M893" t="s">
        <v>85</v>
      </c>
      <c r="N893">
        <v>3</v>
      </c>
      <c r="O893" t="s">
        <v>22</v>
      </c>
      <c r="P893">
        <v>2674.07</v>
      </c>
      <c r="Q893" t="s">
        <v>74</v>
      </c>
      <c r="R893" t="s">
        <v>24</v>
      </c>
      <c r="S893">
        <v>226001</v>
      </c>
      <c r="T893" t="s">
        <v>25</v>
      </c>
      <c r="U893" t="s">
        <v>26</v>
      </c>
    </row>
    <row r="894" spans="1:21" x14ac:dyDescent="0.3">
      <c r="A894">
        <v>893</v>
      </c>
      <c r="B894" t="s">
        <v>3010</v>
      </c>
      <c r="C894" t="s">
        <v>3011</v>
      </c>
      <c r="D894" t="s">
        <v>15</v>
      </c>
      <c r="E894">
        <v>25</v>
      </c>
      <c r="F894" t="str">
        <f t="shared" si="26"/>
        <v>Teenager</v>
      </c>
      <c r="G894" t="s">
        <v>426</v>
      </c>
      <c r="H894" t="str">
        <f t="shared" si="27"/>
        <v>Nov</v>
      </c>
      <c r="I894" t="s">
        <v>60</v>
      </c>
      <c r="J894" t="s">
        <v>79</v>
      </c>
      <c r="K894" t="s">
        <v>3012</v>
      </c>
      <c r="L894" t="s">
        <v>33</v>
      </c>
      <c r="M894" t="s">
        <v>85</v>
      </c>
      <c r="N894">
        <v>2</v>
      </c>
      <c r="O894" t="s">
        <v>22</v>
      </c>
      <c r="P894">
        <v>4552.43</v>
      </c>
      <c r="Q894" t="s">
        <v>74</v>
      </c>
      <c r="R894" t="s">
        <v>24</v>
      </c>
      <c r="S894">
        <v>226001</v>
      </c>
      <c r="T894" t="s">
        <v>25</v>
      </c>
      <c r="U894" t="s">
        <v>44</v>
      </c>
    </row>
    <row r="895" spans="1:21" x14ac:dyDescent="0.3">
      <c r="A895">
        <v>894</v>
      </c>
      <c r="B895" t="s">
        <v>3013</v>
      </c>
      <c r="C895" t="s">
        <v>2686</v>
      </c>
      <c r="D895" t="s">
        <v>15</v>
      </c>
      <c r="E895">
        <v>46</v>
      </c>
      <c r="F895" t="str">
        <f t="shared" si="26"/>
        <v>Adult</v>
      </c>
      <c r="G895" t="s">
        <v>3014</v>
      </c>
      <c r="H895" t="str">
        <f t="shared" si="27"/>
        <v>Nov</v>
      </c>
      <c r="I895" t="s">
        <v>60</v>
      </c>
      <c r="J895" t="s">
        <v>79</v>
      </c>
      <c r="K895" t="s">
        <v>3015</v>
      </c>
      <c r="L895" t="s">
        <v>33</v>
      </c>
      <c r="M895" t="s">
        <v>85</v>
      </c>
      <c r="N895">
        <v>4</v>
      </c>
      <c r="O895" t="s">
        <v>22</v>
      </c>
      <c r="P895">
        <v>2962.61</v>
      </c>
      <c r="Q895" t="s">
        <v>35</v>
      </c>
      <c r="R895" t="s">
        <v>24</v>
      </c>
      <c r="S895">
        <v>560001</v>
      </c>
      <c r="T895" t="s">
        <v>25</v>
      </c>
      <c r="U895" t="s">
        <v>44</v>
      </c>
    </row>
    <row r="896" spans="1:21" x14ac:dyDescent="0.3">
      <c r="A896">
        <v>895</v>
      </c>
      <c r="B896" t="s">
        <v>3016</v>
      </c>
      <c r="C896" t="s">
        <v>3017</v>
      </c>
      <c r="D896" t="s">
        <v>15</v>
      </c>
      <c r="E896">
        <v>31</v>
      </c>
      <c r="F896" t="str">
        <f t="shared" si="26"/>
        <v>Adult</v>
      </c>
      <c r="G896" t="s">
        <v>3018</v>
      </c>
      <c r="H896" t="str">
        <f t="shared" si="27"/>
        <v>Nov</v>
      </c>
      <c r="I896" t="s">
        <v>60</v>
      </c>
      <c r="J896" t="s">
        <v>79</v>
      </c>
      <c r="K896" t="s">
        <v>3019</v>
      </c>
      <c r="L896" t="s">
        <v>107</v>
      </c>
      <c r="M896" t="s">
        <v>21</v>
      </c>
      <c r="N896">
        <v>4</v>
      </c>
      <c r="O896" t="s">
        <v>22</v>
      </c>
      <c r="P896">
        <v>698.99</v>
      </c>
      <c r="Q896" t="s">
        <v>74</v>
      </c>
      <c r="R896" t="s">
        <v>24</v>
      </c>
      <c r="S896">
        <v>226001</v>
      </c>
      <c r="T896" t="s">
        <v>25</v>
      </c>
      <c r="U896" t="s">
        <v>44</v>
      </c>
    </row>
    <row r="897" spans="1:21" x14ac:dyDescent="0.3">
      <c r="A897">
        <v>896</v>
      </c>
      <c r="B897" t="s">
        <v>3020</v>
      </c>
      <c r="C897" t="s">
        <v>3021</v>
      </c>
      <c r="D897" t="s">
        <v>15</v>
      </c>
      <c r="E897">
        <v>52</v>
      </c>
      <c r="F897" t="str">
        <f t="shared" si="26"/>
        <v>Senior</v>
      </c>
      <c r="G897" t="s">
        <v>183</v>
      </c>
      <c r="H897" t="str">
        <f t="shared" si="27"/>
        <v>Jul</v>
      </c>
      <c r="I897" t="s">
        <v>60</v>
      </c>
      <c r="J897" t="s">
        <v>79</v>
      </c>
      <c r="K897" t="s">
        <v>3022</v>
      </c>
      <c r="L897" t="s">
        <v>62</v>
      </c>
      <c r="M897" t="s">
        <v>85</v>
      </c>
      <c r="N897">
        <v>1</v>
      </c>
      <c r="O897" t="s">
        <v>22</v>
      </c>
      <c r="P897">
        <v>662.96</v>
      </c>
      <c r="Q897" t="s">
        <v>35</v>
      </c>
      <c r="R897" t="s">
        <v>24</v>
      </c>
      <c r="S897">
        <v>560001</v>
      </c>
      <c r="T897" t="s">
        <v>25</v>
      </c>
      <c r="U897" t="s">
        <v>26</v>
      </c>
    </row>
    <row r="898" spans="1:21" x14ac:dyDescent="0.3">
      <c r="A898">
        <v>897</v>
      </c>
      <c r="B898" t="s">
        <v>3023</v>
      </c>
      <c r="C898" t="s">
        <v>3024</v>
      </c>
      <c r="D898" t="s">
        <v>15</v>
      </c>
      <c r="E898">
        <v>56</v>
      </c>
      <c r="F898" t="str">
        <f t="shared" si="26"/>
        <v>Senior</v>
      </c>
      <c r="G898" t="s">
        <v>358</v>
      </c>
      <c r="H898" t="str">
        <f t="shared" si="27"/>
        <v>Jul</v>
      </c>
      <c r="I898" t="s">
        <v>60</v>
      </c>
      <c r="J898" t="s">
        <v>79</v>
      </c>
      <c r="K898" t="s">
        <v>3025</v>
      </c>
      <c r="L898" t="s">
        <v>56</v>
      </c>
      <c r="M898" t="s">
        <v>21</v>
      </c>
      <c r="N898">
        <v>4</v>
      </c>
      <c r="O898" t="s">
        <v>22</v>
      </c>
      <c r="P898">
        <v>3690.67</v>
      </c>
      <c r="Q898" t="s">
        <v>74</v>
      </c>
      <c r="R898" t="s">
        <v>24</v>
      </c>
      <c r="S898">
        <v>226001</v>
      </c>
      <c r="T898" t="s">
        <v>25</v>
      </c>
      <c r="U898" t="s">
        <v>44</v>
      </c>
    </row>
    <row r="899" spans="1:21" x14ac:dyDescent="0.3">
      <c r="A899">
        <v>898</v>
      </c>
      <c r="B899" t="s">
        <v>3026</v>
      </c>
      <c r="C899" t="s">
        <v>3027</v>
      </c>
      <c r="D899" t="s">
        <v>15</v>
      </c>
      <c r="E899">
        <v>42</v>
      </c>
      <c r="F899" t="str">
        <f t="shared" ref="F899:F962" si="28">IF(E899&gt;=50,"Senior", IF(E899&gt;=30, "Adult","Teenager"))</f>
        <v>Adult</v>
      </c>
      <c r="G899" t="s">
        <v>434</v>
      </c>
      <c r="H899" t="str">
        <f t="shared" ref="H899:H962" si="29">TEXT(G899,"MMM")</f>
        <v>Apr</v>
      </c>
      <c r="I899" t="s">
        <v>60</v>
      </c>
      <c r="J899" t="s">
        <v>79</v>
      </c>
      <c r="K899" t="s">
        <v>3028</v>
      </c>
      <c r="L899" t="s">
        <v>56</v>
      </c>
      <c r="M899" t="s">
        <v>50</v>
      </c>
      <c r="N899">
        <v>4</v>
      </c>
      <c r="O899" t="s">
        <v>22</v>
      </c>
      <c r="P899">
        <v>1605.77</v>
      </c>
      <c r="Q899" t="s">
        <v>42</v>
      </c>
      <c r="R899" t="s">
        <v>43</v>
      </c>
      <c r="S899">
        <v>302001</v>
      </c>
      <c r="T899" t="s">
        <v>25</v>
      </c>
      <c r="U899" t="s">
        <v>44</v>
      </c>
    </row>
    <row r="900" spans="1:21" x14ac:dyDescent="0.3">
      <c r="A900">
        <v>899</v>
      </c>
      <c r="B900" t="s">
        <v>3029</v>
      </c>
      <c r="C900" t="s">
        <v>3030</v>
      </c>
      <c r="D900" t="s">
        <v>15</v>
      </c>
      <c r="E900">
        <v>36</v>
      </c>
      <c r="F900" t="str">
        <f t="shared" si="28"/>
        <v>Adult</v>
      </c>
      <c r="G900" t="s">
        <v>1973</v>
      </c>
      <c r="H900" t="str">
        <f t="shared" si="29"/>
        <v>Oct</v>
      </c>
      <c r="I900" t="s">
        <v>60</v>
      </c>
      <c r="J900" t="s">
        <v>79</v>
      </c>
      <c r="K900" t="s">
        <v>3031</v>
      </c>
      <c r="L900" t="s">
        <v>33</v>
      </c>
      <c r="M900" t="s">
        <v>34</v>
      </c>
      <c r="N900">
        <v>5</v>
      </c>
      <c r="O900" t="s">
        <v>22</v>
      </c>
      <c r="P900">
        <v>1213.5999999999999</v>
      </c>
      <c r="Q900" t="s">
        <v>74</v>
      </c>
      <c r="R900" t="s">
        <v>75</v>
      </c>
      <c r="S900">
        <v>226001</v>
      </c>
      <c r="T900" t="s">
        <v>25</v>
      </c>
      <c r="U900" t="s">
        <v>26</v>
      </c>
    </row>
    <row r="901" spans="1:21" x14ac:dyDescent="0.3">
      <c r="A901">
        <v>900</v>
      </c>
      <c r="B901" t="s">
        <v>3032</v>
      </c>
      <c r="C901" t="s">
        <v>3033</v>
      </c>
      <c r="D901" t="s">
        <v>15</v>
      </c>
      <c r="E901">
        <v>59</v>
      </c>
      <c r="F901" t="str">
        <f t="shared" si="28"/>
        <v>Senior</v>
      </c>
      <c r="G901" t="s">
        <v>266</v>
      </c>
      <c r="H901" t="str">
        <f t="shared" si="29"/>
        <v>May</v>
      </c>
      <c r="I901" t="s">
        <v>60</v>
      </c>
      <c r="J901" t="s">
        <v>79</v>
      </c>
      <c r="K901" t="s">
        <v>3034</v>
      </c>
      <c r="L901" t="s">
        <v>107</v>
      </c>
      <c r="M901" t="s">
        <v>50</v>
      </c>
      <c r="N901">
        <v>3</v>
      </c>
      <c r="O901" t="s">
        <v>22</v>
      </c>
      <c r="P901">
        <v>2160.31</v>
      </c>
      <c r="Q901" t="s">
        <v>42</v>
      </c>
      <c r="R901" t="s">
        <v>43</v>
      </c>
      <c r="S901">
        <v>302001</v>
      </c>
      <c r="T901" t="s">
        <v>25</v>
      </c>
      <c r="U901" t="s">
        <v>44</v>
      </c>
    </row>
    <row r="902" spans="1:21" x14ac:dyDescent="0.3">
      <c r="A902">
        <v>901</v>
      </c>
      <c r="B902" t="s">
        <v>3035</v>
      </c>
      <c r="C902" t="s">
        <v>3036</v>
      </c>
      <c r="D902" t="s">
        <v>15</v>
      </c>
      <c r="E902">
        <v>30</v>
      </c>
      <c r="F902" t="str">
        <f t="shared" si="28"/>
        <v>Adult</v>
      </c>
      <c r="G902" t="s">
        <v>312</v>
      </c>
      <c r="H902" t="str">
        <f t="shared" si="29"/>
        <v>Oct</v>
      </c>
      <c r="I902" t="s">
        <v>60</v>
      </c>
      <c r="J902" t="s">
        <v>79</v>
      </c>
      <c r="K902" t="s">
        <v>3037</v>
      </c>
      <c r="L902" t="s">
        <v>73</v>
      </c>
      <c r="M902" t="s">
        <v>34</v>
      </c>
      <c r="N902">
        <v>1</v>
      </c>
      <c r="O902" t="s">
        <v>22</v>
      </c>
      <c r="P902">
        <v>3494.32</v>
      </c>
      <c r="Q902" t="s">
        <v>51</v>
      </c>
      <c r="R902" t="s">
        <v>51</v>
      </c>
      <c r="S902">
        <v>110001</v>
      </c>
      <c r="T902" t="s">
        <v>25</v>
      </c>
      <c r="U902" t="s">
        <v>26</v>
      </c>
    </row>
    <row r="903" spans="1:21" x14ac:dyDescent="0.3">
      <c r="A903">
        <v>902</v>
      </c>
      <c r="B903" t="s">
        <v>3038</v>
      </c>
      <c r="C903" t="s">
        <v>3039</v>
      </c>
      <c r="D903" t="s">
        <v>15</v>
      </c>
      <c r="E903">
        <v>55</v>
      </c>
      <c r="F903" t="str">
        <f t="shared" si="28"/>
        <v>Senior</v>
      </c>
      <c r="G903" t="s">
        <v>1189</v>
      </c>
      <c r="H903" t="str">
        <f t="shared" si="29"/>
        <v>Feb</v>
      </c>
      <c r="I903" t="s">
        <v>60</v>
      </c>
      <c r="J903" t="s">
        <v>79</v>
      </c>
      <c r="K903" t="s">
        <v>3040</v>
      </c>
      <c r="L903" t="s">
        <v>73</v>
      </c>
      <c r="M903" t="s">
        <v>50</v>
      </c>
      <c r="N903">
        <v>5</v>
      </c>
      <c r="O903" t="s">
        <v>22</v>
      </c>
      <c r="P903">
        <v>2815.1</v>
      </c>
      <c r="Q903" t="s">
        <v>35</v>
      </c>
      <c r="R903" t="s">
        <v>36</v>
      </c>
      <c r="S903">
        <v>560001</v>
      </c>
      <c r="T903" t="s">
        <v>25</v>
      </c>
      <c r="U903" t="s">
        <v>26</v>
      </c>
    </row>
    <row r="904" spans="1:21" x14ac:dyDescent="0.3">
      <c r="A904">
        <v>903</v>
      </c>
      <c r="B904" t="s">
        <v>3041</v>
      </c>
      <c r="C904" t="s">
        <v>3042</v>
      </c>
      <c r="D904" t="s">
        <v>15</v>
      </c>
      <c r="E904">
        <v>34</v>
      </c>
      <c r="F904" t="str">
        <f t="shared" si="28"/>
        <v>Adult</v>
      </c>
      <c r="G904" t="s">
        <v>135</v>
      </c>
      <c r="H904" t="str">
        <f t="shared" si="29"/>
        <v>Feb</v>
      </c>
      <c r="I904" t="s">
        <v>60</v>
      </c>
      <c r="J904" t="s">
        <v>79</v>
      </c>
      <c r="K904" t="s">
        <v>3043</v>
      </c>
      <c r="L904" t="s">
        <v>73</v>
      </c>
      <c r="M904" t="s">
        <v>85</v>
      </c>
      <c r="N904">
        <v>4</v>
      </c>
      <c r="O904" t="s">
        <v>22</v>
      </c>
      <c r="P904">
        <v>1830.45</v>
      </c>
      <c r="Q904" t="s">
        <v>42</v>
      </c>
      <c r="R904" t="s">
        <v>43</v>
      </c>
      <c r="S904">
        <v>302001</v>
      </c>
      <c r="T904" t="s">
        <v>25</v>
      </c>
      <c r="U904" t="s">
        <v>44</v>
      </c>
    </row>
    <row r="905" spans="1:21" x14ac:dyDescent="0.3">
      <c r="A905">
        <v>904</v>
      </c>
      <c r="B905" t="s">
        <v>3044</v>
      </c>
      <c r="C905" t="s">
        <v>3045</v>
      </c>
      <c r="D905" t="s">
        <v>15</v>
      </c>
      <c r="E905">
        <v>23</v>
      </c>
      <c r="F905" t="str">
        <f t="shared" si="28"/>
        <v>Teenager</v>
      </c>
      <c r="G905" t="s">
        <v>457</v>
      </c>
      <c r="H905" t="str">
        <f t="shared" si="29"/>
        <v>Oct</v>
      </c>
      <c r="I905" t="s">
        <v>60</v>
      </c>
      <c r="J905" t="s">
        <v>79</v>
      </c>
      <c r="K905" t="s">
        <v>3046</v>
      </c>
      <c r="L905" t="s">
        <v>107</v>
      </c>
      <c r="M905" t="s">
        <v>85</v>
      </c>
      <c r="N905">
        <v>3</v>
      </c>
      <c r="O905" t="s">
        <v>22</v>
      </c>
      <c r="P905">
        <v>4148.49</v>
      </c>
      <c r="Q905" t="s">
        <v>23</v>
      </c>
      <c r="R905" t="s">
        <v>24</v>
      </c>
      <c r="S905">
        <v>400001</v>
      </c>
      <c r="T905" t="s">
        <v>25</v>
      </c>
      <c r="U905" t="s">
        <v>26</v>
      </c>
    </row>
    <row r="906" spans="1:21" x14ac:dyDescent="0.3">
      <c r="A906">
        <v>905</v>
      </c>
      <c r="B906" t="s">
        <v>3047</v>
      </c>
      <c r="C906" t="s">
        <v>3048</v>
      </c>
      <c r="D906" t="s">
        <v>15</v>
      </c>
      <c r="E906">
        <v>20</v>
      </c>
      <c r="F906" t="str">
        <f t="shared" si="28"/>
        <v>Teenager</v>
      </c>
      <c r="G906" t="s">
        <v>1000</v>
      </c>
      <c r="H906" t="str">
        <f t="shared" si="29"/>
        <v>Dec</v>
      </c>
      <c r="I906" t="s">
        <v>60</v>
      </c>
      <c r="J906" t="s">
        <v>79</v>
      </c>
      <c r="K906" t="s">
        <v>3049</v>
      </c>
      <c r="L906" t="s">
        <v>62</v>
      </c>
      <c r="M906" t="s">
        <v>50</v>
      </c>
      <c r="N906">
        <v>2</v>
      </c>
      <c r="O906" t="s">
        <v>22</v>
      </c>
      <c r="P906">
        <v>2199.38</v>
      </c>
      <c r="Q906" t="s">
        <v>23</v>
      </c>
      <c r="R906" t="s">
        <v>24</v>
      </c>
      <c r="S906">
        <v>400001</v>
      </c>
      <c r="T906" t="s">
        <v>25</v>
      </c>
      <c r="U906" t="s">
        <v>44</v>
      </c>
    </row>
    <row r="907" spans="1:21" x14ac:dyDescent="0.3">
      <c r="A907">
        <v>906</v>
      </c>
      <c r="B907" t="s">
        <v>3050</v>
      </c>
      <c r="C907" t="s">
        <v>3051</v>
      </c>
      <c r="D907" t="s">
        <v>15</v>
      </c>
      <c r="E907">
        <v>21</v>
      </c>
      <c r="F907" t="str">
        <f t="shared" si="28"/>
        <v>Teenager</v>
      </c>
      <c r="G907" t="s">
        <v>1260</v>
      </c>
      <c r="H907" t="str">
        <f t="shared" si="29"/>
        <v>Oct</v>
      </c>
      <c r="I907" t="s">
        <v>60</v>
      </c>
      <c r="J907" t="s">
        <v>79</v>
      </c>
      <c r="K907" t="s">
        <v>3052</v>
      </c>
      <c r="L907" t="s">
        <v>20</v>
      </c>
      <c r="M907" t="s">
        <v>34</v>
      </c>
      <c r="N907">
        <v>2</v>
      </c>
      <c r="O907" t="s">
        <v>22</v>
      </c>
      <c r="P907">
        <v>2133.4699999999998</v>
      </c>
      <c r="Q907" t="s">
        <v>35</v>
      </c>
      <c r="R907" t="s">
        <v>36</v>
      </c>
      <c r="S907">
        <v>560001</v>
      </c>
      <c r="T907" t="s">
        <v>25</v>
      </c>
      <c r="U907" t="s">
        <v>26</v>
      </c>
    </row>
    <row r="908" spans="1:21" x14ac:dyDescent="0.3">
      <c r="A908">
        <v>907</v>
      </c>
      <c r="B908" t="s">
        <v>3053</v>
      </c>
      <c r="C908" t="s">
        <v>3054</v>
      </c>
      <c r="D908" t="s">
        <v>15</v>
      </c>
      <c r="E908">
        <v>31</v>
      </c>
      <c r="F908" t="str">
        <f t="shared" si="28"/>
        <v>Adult</v>
      </c>
      <c r="G908" t="s">
        <v>913</v>
      </c>
      <c r="H908" t="str">
        <f t="shared" si="29"/>
        <v>Jul</v>
      </c>
      <c r="I908" t="s">
        <v>60</v>
      </c>
      <c r="J908" t="s">
        <v>79</v>
      </c>
      <c r="K908" t="s">
        <v>3055</v>
      </c>
      <c r="L908" t="s">
        <v>20</v>
      </c>
      <c r="M908" t="s">
        <v>34</v>
      </c>
      <c r="N908">
        <v>4</v>
      </c>
      <c r="O908" t="s">
        <v>22</v>
      </c>
      <c r="P908">
        <v>1966</v>
      </c>
      <c r="Q908" t="s">
        <v>51</v>
      </c>
      <c r="R908" t="s">
        <v>51</v>
      </c>
      <c r="S908">
        <v>110001</v>
      </c>
      <c r="T908" t="s">
        <v>25</v>
      </c>
      <c r="U908" t="s">
        <v>44</v>
      </c>
    </row>
    <row r="909" spans="1:21" x14ac:dyDescent="0.3">
      <c r="A909">
        <v>908</v>
      </c>
      <c r="B909" t="s">
        <v>3056</v>
      </c>
      <c r="C909" t="s">
        <v>3057</v>
      </c>
      <c r="D909" t="s">
        <v>15</v>
      </c>
      <c r="E909">
        <v>42</v>
      </c>
      <c r="F909" t="str">
        <f t="shared" si="28"/>
        <v>Adult</v>
      </c>
      <c r="G909" t="s">
        <v>3058</v>
      </c>
      <c r="H909" t="str">
        <f t="shared" si="29"/>
        <v>Feb</v>
      </c>
      <c r="I909" t="s">
        <v>60</v>
      </c>
      <c r="J909" t="s">
        <v>79</v>
      </c>
      <c r="K909" t="s">
        <v>3059</v>
      </c>
      <c r="L909" t="s">
        <v>56</v>
      </c>
      <c r="M909" t="s">
        <v>85</v>
      </c>
      <c r="N909">
        <v>3</v>
      </c>
      <c r="O909" t="s">
        <v>22</v>
      </c>
      <c r="P909">
        <v>1740.06</v>
      </c>
      <c r="Q909" t="s">
        <v>74</v>
      </c>
      <c r="R909" t="s">
        <v>75</v>
      </c>
      <c r="S909">
        <v>226001</v>
      </c>
      <c r="T909" t="s">
        <v>25</v>
      </c>
      <c r="U909" t="s">
        <v>44</v>
      </c>
    </row>
    <row r="910" spans="1:21" x14ac:dyDescent="0.3">
      <c r="A910">
        <v>909</v>
      </c>
      <c r="B910" t="s">
        <v>3060</v>
      </c>
      <c r="C910" t="s">
        <v>3061</v>
      </c>
      <c r="D910" t="s">
        <v>15</v>
      </c>
      <c r="E910">
        <v>56</v>
      </c>
      <c r="F910" t="str">
        <f t="shared" si="28"/>
        <v>Senior</v>
      </c>
      <c r="G910" t="s">
        <v>516</v>
      </c>
      <c r="H910" t="str">
        <f t="shared" si="29"/>
        <v>Nov</v>
      </c>
      <c r="I910" t="s">
        <v>60</v>
      </c>
      <c r="J910" t="s">
        <v>40</v>
      </c>
      <c r="K910" t="s">
        <v>3062</v>
      </c>
      <c r="L910" t="s">
        <v>73</v>
      </c>
      <c r="M910" t="s">
        <v>34</v>
      </c>
      <c r="N910">
        <v>5</v>
      </c>
      <c r="O910" t="s">
        <v>22</v>
      </c>
      <c r="P910">
        <v>1133.26</v>
      </c>
      <c r="Q910" t="s">
        <v>74</v>
      </c>
      <c r="R910" t="s">
        <v>75</v>
      </c>
      <c r="S910">
        <v>226001</v>
      </c>
      <c r="T910" t="s">
        <v>25</v>
      </c>
      <c r="U910" t="s">
        <v>26</v>
      </c>
    </row>
    <row r="911" spans="1:21" x14ac:dyDescent="0.3">
      <c r="A911">
        <v>910</v>
      </c>
      <c r="B911" t="s">
        <v>3063</v>
      </c>
      <c r="C911" t="s">
        <v>3064</v>
      </c>
      <c r="D911" t="s">
        <v>15</v>
      </c>
      <c r="E911">
        <v>37</v>
      </c>
      <c r="F911" t="str">
        <f t="shared" si="28"/>
        <v>Adult</v>
      </c>
      <c r="G911" t="s">
        <v>373</v>
      </c>
      <c r="H911" t="str">
        <f t="shared" si="29"/>
        <v>Sep</v>
      </c>
      <c r="I911" t="s">
        <v>60</v>
      </c>
      <c r="J911" t="s">
        <v>40</v>
      </c>
      <c r="K911" t="s">
        <v>3065</v>
      </c>
      <c r="L911" t="s">
        <v>62</v>
      </c>
      <c r="M911" t="s">
        <v>85</v>
      </c>
      <c r="N911">
        <v>4</v>
      </c>
      <c r="O911" t="s">
        <v>22</v>
      </c>
      <c r="P911">
        <v>1537.4</v>
      </c>
      <c r="Q911" t="s">
        <v>35</v>
      </c>
      <c r="R911" t="s">
        <v>36</v>
      </c>
      <c r="S911">
        <v>560001</v>
      </c>
      <c r="T911" t="s">
        <v>25</v>
      </c>
      <c r="U911" t="s">
        <v>26</v>
      </c>
    </row>
    <row r="912" spans="1:21" x14ac:dyDescent="0.3">
      <c r="A912">
        <v>911</v>
      </c>
      <c r="B912" t="s">
        <v>3066</v>
      </c>
      <c r="C912" t="s">
        <v>3067</v>
      </c>
      <c r="D912" t="s">
        <v>15</v>
      </c>
      <c r="E912">
        <v>37</v>
      </c>
      <c r="F912" t="str">
        <f t="shared" si="28"/>
        <v>Adult</v>
      </c>
      <c r="G912" t="s">
        <v>1388</v>
      </c>
      <c r="H912" t="str">
        <f t="shared" si="29"/>
        <v>Nov</v>
      </c>
      <c r="I912" t="s">
        <v>60</v>
      </c>
      <c r="J912" t="s">
        <v>40</v>
      </c>
      <c r="K912" t="s">
        <v>3068</v>
      </c>
      <c r="L912" t="s">
        <v>62</v>
      </c>
      <c r="M912" t="s">
        <v>34</v>
      </c>
      <c r="N912">
        <v>5</v>
      </c>
      <c r="O912" t="s">
        <v>22</v>
      </c>
      <c r="P912">
        <v>2170.46</v>
      </c>
      <c r="Q912" t="s">
        <v>42</v>
      </c>
      <c r="R912" t="s">
        <v>43</v>
      </c>
      <c r="S912">
        <v>302001</v>
      </c>
      <c r="T912" t="s">
        <v>25</v>
      </c>
      <c r="U912" t="s">
        <v>44</v>
      </c>
    </row>
    <row r="913" spans="1:21" x14ac:dyDescent="0.3">
      <c r="A913">
        <v>912</v>
      </c>
      <c r="B913" t="s">
        <v>3069</v>
      </c>
      <c r="C913" t="s">
        <v>3070</v>
      </c>
      <c r="D913" t="s">
        <v>15</v>
      </c>
      <c r="E913">
        <v>23</v>
      </c>
      <c r="F913" t="str">
        <f t="shared" si="28"/>
        <v>Teenager</v>
      </c>
      <c r="G913" t="s">
        <v>2532</v>
      </c>
      <c r="H913" t="str">
        <f t="shared" si="29"/>
        <v>Oct</v>
      </c>
      <c r="I913" t="s">
        <v>60</v>
      </c>
      <c r="J913" t="s">
        <v>40</v>
      </c>
      <c r="K913" t="s">
        <v>3071</v>
      </c>
      <c r="L913" t="s">
        <v>56</v>
      </c>
      <c r="M913" t="s">
        <v>50</v>
      </c>
      <c r="N913">
        <v>3</v>
      </c>
      <c r="O913" t="s">
        <v>22</v>
      </c>
      <c r="P913">
        <v>854.87</v>
      </c>
      <c r="Q913" t="s">
        <v>51</v>
      </c>
      <c r="R913" t="s">
        <v>51</v>
      </c>
      <c r="S913">
        <v>110001</v>
      </c>
      <c r="T913" t="s">
        <v>25</v>
      </c>
      <c r="U913" t="s">
        <v>26</v>
      </c>
    </row>
    <row r="914" spans="1:21" x14ac:dyDescent="0.3">
      <c r="A914">
        <v>913</v>
      </c>
      <c r="B914" t="s">
        <v>3072</v>
      </c>
      <c r="C914" t="s">
        <v>1430</v>
      </c>
      <c r="D914" t="s">
        <v>15</v>
      </c>
      <c r="E914">
        <v>60</v>
      </c>
      <c r="F914" t="str">
        <f t="shared" si="28"/>
        <v>Senior</v>
      </c>
      <c r="G914" t="s">
        <v>419</v>
      </c>
      <c r="H914" t="str">
        <f t="shared" si="29"/>
        <v>Jun</v>
      </c>
      <c r="I914" t="s">
        <v>60</v>
      </c>
      <c r="J914" t="s">
        <v>40</v>
      </c>
      <c r="K914" t="s">
        <v>3073</v>
      </c>
      <c r="L914" t="s">
        <v>73</v>
      </c>
      <c r="M914" t="s">
        <v>50</v>
      </c>
      <c r="N914">
        <v>3</v>
      </c>
      <c r="O914" t="s">
        <v>22</v>
      </c>
      <c r="P914">
        <v>3861.76</v>
      </c>
      <c r="Q914" t="s">
        <v>35</v>
      </c>
      <c r="R914" t="s">
        <v>36</v>
      </c>
      <c r="S914">
        <v>560001</v>
      </c>
      <c r="T914" t="s">
        <v>25</v>
      </c>
      <c r="U914" t="s">
        <v>26</v>
      </c>
    </row>
    <row r="915" spans="1:21" x14ac:dyDescent="0.3">
      <c r="A915">
        <v>914</v>
      </c>
      <c r="B915" t="s">
        <v>3074</v>
      </c>
      <c r="C915" t="s">
        <v>3075</v>
      </c>
      <c r="D915" t="s">
        <v>15</v>
      </c>
      <c r="E915">
        <v>48</v>
      </c>
      <c r="F915" t="str">
        <f t="shared" si="28"/>
        <v>Adult</v>
      </c>
      <c r="G915" t="s">
        <v>849</v>
      </c>
      <c r="H915" t="str">
        <f t="shared" si="29"/>
        <v>May</v>
      </c>
      <c r="I915" t="s">
        <v>60</v>
      </c>
      <c r="J915" t="s">
        <v>40</v>
      </c>
      <c r="K915" t="s">
        <v>3076</v>
      </c>
      <c r="L915" t="s">
        <v>56</v>
      </c>
      <c r="M915" t="s">
        <v>85</v>
      </c>
      <c r="N915">
        <v>3</v>
      </c>
      <c r="O915" t="s">
        <v>22</v>
      </c>
      <c r="P915">
        <v>3105.44</v>
      </c>
      <c r="Q915" t="s">
        <v>42</v>
      </c>
      <c r="R915" t="s">
        <v>43</v>
      </c>
      <c r="S915">
        <v>302001</v>
      </c>
      <c r="T915" t="s">
        <v>25</v>
      </c>
      <c r="U915" t="s">
        <v>26</v>
      </c>
    </row>
    <row r="916" spans="1:21" x14ac:dyDescent="0.3">
      <c r="A916">
        <v>915</v>
      </c>
      <c r="B916" t="s">
        <v>3077</v>
      </c>
      <c r="C916" t="s">
        <v>3078</v>
      </c>
      <c r="D916" t="s">
        <v>15</v>
      </c>
      <c r="E916">
        <v>25</v>
      </c>
      <c r="F916" t="str">
        <f t="shared" si="28"/>
        <v>Teenager</v>
      </c>
      <c r="G916" t="s">
        <v>1224</v>
      </c>
      <c r="H916" t="str">
        <f t="shared" si="29"/>
        <v>Apr</v>
      </c>
      <c r="I916" t="s">
        <v>60</v>
      </c>
      <c r="J916" t="s">
        <v>40</v>
      </c>
      <c r="K916" t="s">
        <v>3079</v>
      </c>
      <c r="L916" t="s">
        <v>62</v>
      </c>
      <c r="M916" t="s">
        <v>85</v>
      </c>
      <c r="N916">
        <v>1</v>
      </c>
      <c r="O916" t="s">
        <v>22</v>
      </c>
      <c r="P916">
        <v>3899.4</v>
      </c>
      <c r="Q916" t="s">
        <v>74</v>
      </c>
      <c r="R916" t="s">
        <v>75</v>
      </c>
      <c r="S916">
        <v>226001</v>
      </c>
      <c r="T916" t="s">
        <v>25</v>
      </c>
      <c r="U916" t="s">
        <v>26</v>
      </c>
    </row>
    <row r="917" spans="1:21" x14ac:dyDescent="0.3">
      <c r="A917">
        <v>916</v>
      </c>
      <c r="B917" t="s">
        <v>3080</v>
      </c>
      <c r="C917" t="s">
        <v>3081</v>
      </c>
      <c r="D917" t="s">
        <v>15</v>
      </c>
      <c r="E917">
        <v>24</v>
      </c>
      <c r="F917" t="str">
        <f t="shared" si="28"/>
        <v>Teenager</v>
      </c>
      <c r="G917" t="s">
        <v>1290</v>
      </c>
      <c r="H917" t="str">
        <f t="shared" si="29"/>
        <v>Feb</v>
      </c>
      <c r="I917" t="s">
        <v>60</v>
      </c>
      <c r="J917" t="s">
        <v>40</v>
      </c>
      <c r="K917" t="s">
        <v>3082</v>
      </c>
      <c r="L917" t="s">
        <v>62</v>
      </c>
      <c r="M917" t="s">
        <v>85</v>
      </c>
      <c r="N917">
        <v>3</v>
      </c>
      <c r="O917" t="s">
        <v>22</v>
      </c>
      <c r="P917">
        <v>3254.65</v>
      </c>
      <c r="Q917" t="s">
        <v>74</v>
      </c>
      <c r="R917" t="s">
        <v>75</v>
      </c>
      <c r="S917">
        <v>226001</v>
      </c>
      <c r="T917" t="s">
        <v>25</v>
      </c>
      <c r="U917" t="s">
        <v>26</v>
      </c>
    </row>
    <row r="918" spans="1:21" x14ac:dyDescent="0.3">
      <c r="A918">
        <v>917</v>
      </c>
      <c r="B918" t="s">
        <v>3083</v>
      </c>
      <c r="C918" t="s">
        <v>3084</v>
      </c>
      <c r="D918" t="s">
        <v>15</v>
      </c>
      <c r="E918">
        <v>56</v>
      </c>
      <c r="F918" t="str">
        <f t="shared" si="28"/>
        <v>Senior</v>
      </c>
      <c r="G918" t="s">
        <v>258</v>
      </c>
      <c r="H918" t="str">
        <f t="shared" si="29"/>
        <v>Mar</v>
      </c>
      <c r="I918" t="s">
        <v>60</v>
      </c>
      <c r="J918" t="s">
        <v>40</v>
      </c>
      <c r="K918" t="s">
        <v>3085</v>
      </c>
      <c r="L918" t="s">
        <v>33</v>
      </c>
      <c r="M918" t="s">
        <v>34</v>
      </c>
      <c r="N918">
        <v>4</v>
      </c>
      <c r="O918" t="s">
        <v>22</v>
      </c>
      <c r="P918">
        <v>1929.99</v>
      </c>
      <c r="Q918" t="s">
        <v>35</v>
      </c>
      <c r="R918" t="s">
        <v>36</v>
      </c>
      <c r="S918">
        <v>560001</v>
      </c>
      <c r="T918" t="s">
        <v>25</v>
      </c>
      <c r="U918" t="s">
        <v>26</v>
      </c>
    </row>
    <row r="919" spans="1:21" x14ac:dyDescent="0.3">
      <c r="A919">
        <v>918</v>
      </c>
      <c r="B919" t="s">
        <v>3086</v>
      </c>
      <c r="C919" t="s">
        <v>3087</v>
      </c>
      <c r="D919" t="s">
        <v>15</v>
      </c>
      <c r="E919">
        <v>51</v>
      </c>
      <c r="F919" t="str">
        <f t="shared" si="28"/>
        <v>Senior</v>
      </c>
      <c r="G919" t="s">
        <v>3088</v>
      </c>
      <c r="H919" t="str">
        <f t="shared" si="29"/>
        <v>Dec</v>
      </c>
      <c r="I919" t="s">
        <v>60</v>
      </c>
      <c r="J919" t="s">
        <v>40</v>
      </c>
      <c r="K919" t="s">
        <v>3089</v>
      </c>
      <c r="L919" t="s">
        <v>73</v>
      </c>
      <c r="M919" t="s">
        <v>34</v>
      </c>
      <c r="N919">
        <v>2</v>
      </c>
      <c r="O919" t="s">
        <v>22</v>
      </c>
      <c r="P919">
        <v>4823.67</v>
      </c>
      <c r="Q919" t="s">
        <v>42</v>
      </c>
      <c r="R919" t="s">
        <v>43</v>
      </c>
      <c r="S919">
        <v>302001</v>
      </c>
      <c r="T919" t="s">
        <v>25</v>
      </c>
      <c r="U919" t="s">
        <v>44</v>
      </c>
    </row>
    <row r="920" spans="1:21" x14ac:dyDescent="0.3">
      <c r="A920">
        <v>919</v>
      </c>
      <c r="B920" t="s">
        <v>3090</v>
      </c>
      <c r="C920" t="s">
        <v>3091</v>
      </c>
      <c r="D920" t="s">
        <v>15</v>
      </c>
      <c r="E920">
        <v>44</v>
      </c>
      <c r="F920" t="str">
        <f t="shared" si="28"/>
        <v>Adult</v>
      </c>
      <c r="G920" t="s">
        <v>3092</v>
      </c>
      <c r="H920" t="str">
        <f t="shared" si="29"/>
        <v>Apr</v>
      </c>
      <c r="I920" t="s">
        <v>60</v>
      </c>
      <c r="J920" t="s">
        <v>40</v>
      </c>
      <c r="K920" t="s">
        <v>3093</v>
      </c>
      <c r="L920" t="s">
        <v>73</v>
      </c>
      <c r="M920" t="s">
        <v>21</v>
      </c>
      <c r="N920">
        <v>1</v>
      </c>
      <c r="O920" t="s">
        <v>22</v>
      </c>
      <c r="P920">
        <v>1243.54</v>
      </c>
      <c r="Q920" t="s">
        <v>35</v>
      </c>
      <c r="R920" t="s">
        <v>36</v>
      </c>
      <c r="S920">
        <v>560001</v>
      </c>
      <c r="T920" t="s">
        <v>25</v>
      </c>
      <c r="U920" t="s">
        <v>26</v>
      </c>
    </row>
    <row r="921" spans="1:21" x14ac:dyDescent="0.3">
      <c r="A921">
        <v>920</v>
      </c>
      <c r="B921" t="s">
        <v>3094</v>
      </c>
      <c r="C921" t="s">
        <v>287</v>
      </c>
      <c r="D921" t="s">
        <v>15</v>
      </c>
      <c r="E921">
        <v>39</v>
      </c>
      <c r="F921" t="str">
        <f t="shared" si="28"/>
        <v>Adult</v>
      </c>
      <c r="G921" t="s">
        <v>946</v>
      </c>
      <c r="H921" t="str">
        <f t="shared" si="29"/>
        <v>Dec</v>
      </c>
      <c r="I921" t="s">
        <v>60</v>
      </c>
      <c r="J921" t="s">
        <v>79</v>
      </c>
      <c r="K921" t="s">
        <v>3095</v>
      </c>
      <c r="L921" t="s">
        <v>56</v>
      </c>
      <c r="M921" t="s">
        <v>85</v>
      </c>
      <c r="N921">
        <v>4</v>
      </c>
      <c r="O921" t="s">
        <v>22</v>
      </c>
      <c r="P921">
        <v>1143.5899999999999</v>
      </c>
      <c r="Q921" t="s">
        <v>23</v>
      </c>
      <c r="R921" t="s">
        <v>24</v>
      </c>
      <c r="S921">
        <v>400001</v>
      </c>
      <c r="T921" t="s">
        <v>25</v>
      </c>
      <c r="U921" t="s">
        <v>44</v>
      </c>
    </row>
    <row r="922" spans="1:21" x14ac:dyDescent="0.3">
      <c r="A922">
        <v>921</v>
      </c>
      <c r="B922" t="s">
        <v>3096</v>
      </c>
      <c r="C922" t="s">
        <v>3097</v>
      </c>
      <c r="D922" t="s">
        <v>15</v>
      </c>
      <c r="E922">
        <v>54</v>
      </c>
      <c r="F922" t="str">
        <f t="shared" si="28"/>
        <v>Senior</v>
      </c>
      <c r="G922" t="s">
        <v>1605</v>
      </c>
      <c r="H922" t="str">
        <f t="shared" si="29"/>
        <v>Apr</v>
      </c>
      <c r="I922" t="s">
        <v>60</v>
      </c>
      <c r="J922" t="s">
        <v>79</v>
      </c>
      <c r="K922" t="s">
        <v>3098</v>
      </c>
      <c r="L922" t="s">
        <v>33</v>
      </c>
      <c r="M922" t="s">
        <v>50</v>
      </c>
      <c r="N922">
        <v>2</v>
      </c>
      <c r="O922" t="s">
        <v>22</v>
      </c>
      <c r="P922">
        <v>3601.28</v>
      </c>
      <c r="Q922" t="s">
        <v>42</v>
      </c>
      <c r="R922" t="s">
        <v>43</v>
      </c>
      <c r="S922">
        <v>302001</v>
      </c>
      <c r="T922" t="s">
        <v>25</v>
      </c>
      <c r="U922" t="s">
        <v>44</v>
      </c>
    </row>
    <row r="923" spans="1:21" x14ac:dyDescent="0.3">
      <c r="A923">
        <v>922</v>
      </c>
      <c r="B923" t="s">
        <v>3099</v>
      </c>
      <c r="C923" t="s">
        <v>1673</v>
      </c>
      <c r="D923" t="s">
        <v>15</v>
      </c>
      <c r="E923">
        <v>20</v>
      </c>
      <c r="F923" t="str">
        <f t="shared" si="28"/>
        <v>Teenager</v>
      </c>
      <c r="G923" t="s">
        <v>1336</v>
      </c>
      <c r="H923" t="str">
        <f t="shared" si="29"/>
        <v>Feb</v>
      </c>
      <c r="I923" t="s">
        <v>60</v>
      </c>
      <c r="J923" t="s">
        <v>79</v>
      </c>
      <c r="K923" t="s">
        <v>3100</v>
      </c>
      <c r="L923" t="s">
        <v>20</v>
      </c>
      <c r="M923" t="s">
        <v>34</v>
      </c>
      <c r="N923">
        <v>2</v>
      </c>
      <c r="O923" t="s">
        <v>22</v>
      </c>
      <c r="P923">
        <v>2631.64</v>
      </c>
      <c r="Q923" t="s">
        <v>23</v>
      </c>
      <c r="R923" t="s">
        <v>24</v>
      </c>
      <c r="S923">
        <v>400001</v>
      </c>
      <c r="T923" t="s">
        <v>25</v>
      </c>
      <c r="U923" t="s">
        <v>44</v>
      </c>
    </row>
    <row r="924" spans="1:21" x14ac:dyDescent="0.3">
      <c r="A924">
        <v>923</v>
      </c>
      <c r="B924" t="s">
        <v>3101</v>
      </c>
      <c r="C924" t="s">
        <v>3102</v>
      </c>
      <c r="D924" t="s">
        <v>15</v>
      </c>
      <c r="E924">
        <v>51</v>
      </c>
      <c r="F924" t="str">
        <f t="shared" si="28"/>
        <v>Senior</v>
      </c>
      <c r="G924" t="s">
        <v>1519</v>
      </c>
      <c r="H924" t="str">
        <f t="shared" si="29"/>
        <v>Dec</v>
      </c>
      <c r="I924" t="s">
        <v>60</v>
      </c>
      <c r="J924" t="s">
        <v>79</v>
      </c>
      <c r="K924" t="s">
        <v>3103</v>
      </c>
      <c r="L924" t="s">
        <v>62</v>
      </c>
      <c r="M924" t="s">
        <v>34</v>
      </c>
      <c r="N924">
        <v>1</v>
      </c>
      <c r="O924" t="s">
        <v>22</v>
      </c>
      <c r="P924">
        <v>4857.0600000000004</v>
      </c>
      <c r="Q924" t="s">
        <v>35</v>
      </c>
      <c r="R924" t="s">
        <v>36</v>
      </c>
      <c r="S924">
        <v>560001</v>
      </c>
      <c r="T924" t="s">
        <v>25</v>
      </c>
      <c r="U924" t="s">
        <v>44</v>
      </c>
    </row>
    <row r="925" spans="1:21" x14ac:dyDescent="0.3">
      <c r="A925">
        <v>924</v>
      </c>
      <c r="B925" t="s">
        <v>3104</v>
      </c>
      <c r="C925" t="s">
        <v>3105</v>
      </c>
      <c r="D925" t="s">
        <v>15</v>
      </c>
      <c r="E925">
        <v>42</v>
      </c>
      <c r="F925" t="str">
        <f t="shared" si="28"/>
        <v>Adult</v>
      </c>
      <c r="G925" t="s">
        <v>703</v>
      </c>
      <c r="H925" t="str">
        <f t="shared" si="29"/>
        <v>Feb</v>
      </c>
      <c r="I925" t="s">
        <v>60</v>
      </c>
      <c r="J925" t="s">
        <v>79</v>
      </c>
      <c r="K925" t="s">
        <v>3106</v>
      </c>
      <c r="L925" t="s">
        <v>20</v>
      </c>
      <c r="M925" t="s">
        <v>34</v>
      </c>
      <c r="N925">
        <v>2</v>
      </c>
      <c r="O925" t="s">
        <v>22</v>
      </c>
      <c r="P925">
        <v>2594.23</v>
      </c>
      <c r="Q925" t="s">
        <v>51</v>
      </c>
      <c r="R925" t="s">
        <v>51</v>
      </c>
      <c r="S925">
        <v>110001</v>
      </c>
      <c r="T925" t="s">
        <v>25</v>
      </c>
      <c r="U925" t="s">
        <v>26</v>
      </c>
    </row>
    <row r="926" spans="1:21" x14ac:dyDescent="0.3">
      <c r="A926">
        <v>925</v>
      </c>
      <c r="B926" t="s">
        <v>3107</v>
      </c>
      <c r="C926" t="s">
        <v>3108</v>
      </c>
      <c r="D926" t="s">
        <v>15</v>
      </c>
      <c r="E926">
        <v>30</v>
      </c>
      <c r="F926" t="str">
        <f t="shared" si="28"/>
        <v>Adult</v>
      </c>
      <c r="G926" t="s">
        <v>2500</v>
      </c>
      <c r="H926" t="str">
        <f t="shared" si="29"/>
        <v>Aug</v>
      </c>
      <c r="I926" t="s">
        <v>60</v>
      </c>
      <c r="J926" t="s">
        <v>79</v>
      </c>
      <c r="K926" t="s">
        <v>3109</v>
      </c>
      <c r="L926" t="s">
        <v>107</v>
      </c>
      <c r="M926" t="s">
        <v>85</v>
      </c>
      <c r="N926">
        <v>4</v>
      </c>
      <c r="O926" t="s">
        <v>22</v>
      </c>
      <c r="P926">
        <v>1087.93</v>
      </c>
      <c r="Q926" t="s">
        <v>35</v>
      </c>
      <c r="R926" t="s">
        <v>36</v>
      </c>
      <c r="S926">
        <v>560001</v>
      </c>
      <c r="T926" t="s">
        <v>25</v>
      </c>
      <c r="U926" t="s">
        <v>44</v>
      </c>
    </row>
    <row r="927" spans="1:21" x14ac:dyDescent="0.3">
      <c r="A927">
        <v>926</v>
      </c>
      <c r="B927" t="s">
        <v>3110</v>
      </c>
      <c r="C927" t="s">
        <v>3111</v>
      </c>
      <c r="D927" t="s">
        <v>15</v>
      </c>
      <c r="E927">
        <v>23</v>
      </c>
      <c r="F927" t="str">
        <f t="shared" si="28"/>
        <v>Teenager</v>
      </c>
      <c r="G927" t="s">
        <v>1016</v>
      </c>
      <c r="H927" t="str">
        <f t="shared" si="29"/>
        <v>Aug</v>
      </c>
      <c r="I927" t="s">
        <v>60</v>
      </c>
      <c r="J927" t="s">
        <v>79</v>
      </c>
      <c r="K927" t="s">
        <v>3112</v>
      </c>
      <c r="L927" t="s">
        <v>62</v>
      </c>
      <c r="M927" t="s">
        <v>34</v>
      </c>
      <c r="N927">
        <v>3</v>
      </c>
      <c r="O927" t="s">
        <v>22</v>
      </c>
      <c r="P927">
        <v>1095.21</v>
      </c>
      <c r="Q927" t="s">
        <v>35</v>
      </c>
      <c r="R927" t="s">
        <v>36</v>
      </c>
      <c r="S927">
        <v>560001</v>
      </c>
      <c r="T927" t="s">
        <v>25</v>
      </c>
      <c r="U927" t="s">
        <v>26</v>
      </c>
    </row>
    <row r="928" spans="1:21" x14ac:dyDescent="0.3">
      <c r="A928">
        <v>927</v>
      </c>
      <c r="B928" t="s">
        <v>3113</v>
      </c>
      <c r="C928" t="s">
        <v>3114</v>
      </c>
      <c r="D928" t="s">
        <v>15</v>
      </c>
      <c r="E928">
        <v>28</v>
      </c>
      <c r="F928" t="str">
        <f t="shared" si="28"/>
        <v>Teenager</v>
      </c>
      <c r="G928" t="s">
        <v>481</v>
      </c>
      <c r="H928" t="str">
        <f t="shared" si="29"/>
        <v>Jan</v>
      </c>
      <c r="I928" t="s">
        <v>60</v>
      </c>
      <c r="J928" t="s">
        <v>79</v>
      </c>
      <c r="K928" t="s">
        <v>3115</v>
      </c>
      <c r="L928" t="s">
        <v>62</v>
      </c>
      <c r="M928" t="s">
        <v>21</v>
      </c>
      <c r="N928">
        <v>1</v>
      </c>
      <c r="O928" t="s">
        <v>22</v>
      </c>
      <c r="P928">
        <v>1036.5899999999999</v>
      </c>
      <c r="Q928" t="s">
        <v>74</v>
      </c>
      <c r="R928" t="s">
        <v>75</v>
      </c>
      <c r="S928">
        <v>226001</v>
      </c>
      <c r="T928" t="s">
        <v>25</v>
      </c>
      <c r="U928" t="s">
        <v>44</v>
      </c>
    </row>
    <row r="929" spans="1:21" x14ac:dyDescent="0.3">
      <c r="A929">
        <v>928</v>
      </c>
      <c r="B929" t="s">
        <v>3116</v>
      </c>
      <c r="C929" t="s">
        <v>3117</v>
      </c>
      <c r="D929" t="s">
        <v>15</v>
      </c>
      <c r="E929">
        <v>40</v>
      </c>
      <c r="F929" t="str">
        <f t="shared" si="28"/>
        <v>Adult</v>
      </c>
      <c r="G929" t="s">
        <v>557</v>
      </c>
      <c r="H929" t="str">
        <f t="shared" si="29"/>
        <v>Oct</v>
      </c>
      <c r="I929" t="s">
        <v>60</v>
      </c>
      <c r="J929" t="s">
        <v>79</v>
      </c>
      <c r="K929" t="s">
        <v>3118</v>
      </c>
      <c r="L929" t="s">
        <v>33</v>
      </c>
      <c r="M929" t="s">
        <v>50</v>
      </c>
      <c r="N929">
        <v>2</v>
      </c>
      <c r="O929" t="s">
        <v>22</v>
      </c>
      <c r="P929">
        <v>2174.0300000000002</v>
      </c>
      <c r="Q929" t="s">
        <v>51</v>
      </c>
      <c r="R929" t="s">
        <v>51</v>
      </c>
      <c r="S929">
        <v>110001</v>
      </c>
      <c r="T929" t="s">
        <v>25</v>
      </c>
      <c r="U929" t="s">
        <v>26</v>
      </c>
    </row>
    <row r="930" spans="1:21" x14ac:dyDescent="0.3">
      <c r="A930">
        <v>929</v>
      </c>
      <c r="B930" t="s">
        <v>3119</v>
      </c>
      <c r="C930" t="s">
        <v>3120</v>
      </c>
      <c r="D930" t="s">
        <v>15</v>
      </c>
      <c r="E930">
        <v>37</v>
      </c>
      <c r="F930" t="str">
        <f t="shared" si="28"/>
        <v>Adult</v>
      </c>
      <c r="G930" t="s">
        <v>670</v>
      </c>
      <c r="H930" t="str">
        <f t="shared" si="29"/>
        <v>Mar</v>
      </c>
      <c r="I930" t="s">
        <v>60</v>
      </c>
      <c r="J930" t="s">
        <v>79</v>
      </c>
      <c r="K930" t="s">
        <v>3121</v>
      </c>
      <c r="L930" t="s">
        <v>20</v>
      </c>
      <c r="M930" t="s">
        <v>50</v>
      </c>
      <c r="N930">
        <v>3</v>
      </c>
      <c r="O930" t="s">
        <v>22</v>
      </c>
      <c r="P930">
        <v>780.35</v>
      </c>
      <c r="Q930" t="s">
        <v>74</v>
      </c>
      <c r="R930" t="s">
        <v>75</v>
      </c>
      <c r="S930">
        <v>226001</v>
      </c>
      <c r="T930" t="s">
        <v>25</v>
      </c>
      <c r="U930" t="s">
        <v>26</v>
      </c>
    </row>
    <row r="931" spans="1:21" x14ac:dyDescent="0.3">
      <c r="A931">
        <v>930</v>
      </c>
      <c r="B931" t="s">
        <v>3122</v>
      </c>
      <c r="C931" t="s">
        <v>3123</v>
      </c>
      <c r="D931" t="s">
        <v>15</v>
      </c>
      <c r="E931">
        <v>48</v>
      </c>
      <c r="F931" t="str">
        <f t="shared" si="28"/>
        <v>Adult</v>
      </c>
      <c r="G931" t="s">
        <v>500</v>
      </c>
      <c r="H931" t="str">
        <f t="shared" si="29"/>
        <v>May</v>
      </c>
      <c r="I931" t="s">
        <v>60</v>
      </c>
      <c r="J931" t="s">
        <v>79</v>
      </c>
      <c r="K931" t="s">
        <v>3124</v>
      </c>
      <c r="L931" t="s">
        <v>56</v>
      </c>
      <c r="M931" t="s">
        <v>21</v>
      </c>
      <c r="N931">
        <v>5</v>
      </c>
      <c r="O931" t="s">
        <v>22</v>
      </c>
      <c r="P931">
        <v>1169.6500000000001</v>
      </c>
      <c r="Q931" t="s">
        <v>35</v>
      </c>
      <c r="R931" t="s">
        <v>36</v>
      </c>
      <c r="S931">
        <v>560001</v>
      </c>
      <c r="T931" t="s">
        <v>25</v>
      </c>
      <c r="U931" t="s">
        <v>26</v>
      </c>
    </row>
    <row r="932" spans="1:21" x14ac:dyDescent="0.3">
      <c r="A932">
        <v>931</v>
      </c>
      <c r="B932" t="s">
        <v>3125</v>
      </c>
      <c r="C932" t="s">
        <v>1289</v>
      </c>
      <c r="D932" t="s">
        <v>15</v>
      </c>
      <c r="E932">
        <v>28</v>
      </c>
      <c r="F932" t="str">
        <f t="shared" si="28"/>
        <v>Teenager</v>
      </c>
      <c r="G932" t="s">
        <v>629</v>
      </c>
      <c r="H932" t="str">
        <f t="shared" si="29"/>
        <v>Nov</v>
      </c>
      <c r="I932" t="s">
        <v>60</v>
      </c>
      <c r="J932" t="s">
        <v>79</v>
      </c>
      <c r="K932" t="s">
        <v>3126</v>
      </c>
      <c r="L932" t="s">
        <v>73</v>
      </c>
      <c r="M932" t="s">
        <v>50</v>
      </c>
      <c r="N932">
        <v>5</v>
      </c>
      <c r="O932" t="s">
        <v>22</v>
      </c>
      <c r="P932">
        <v>385.43</v>
      </c>
      <c r="Q932" t="s">
        <v>74</v>
      </c>
      <c r="R932" t="s">
        <v>75</v>
      </c>
      <c r="S932">
        <v>226001</v>
      </c>
      <c r="T932" t="s">
        <v>25</v>
      </c>
      <c r="U932" t="s">
        <v>44</v>
      </c>
    </row>
    <row r="933" spans="1:21" x14ac:dyDescent="0.3">
      <c r="A933">
        <v>932</v>
      </c>
      <c r="B933" t="s">
        <v>3127</v>
      </c>
      <c r="C933" t="s">
        <v>3128</v>
      </c>
      <c r="D933" t="s">
        <v>15</v>
      </c>
      <c r="E933">
        <v>51</v>
      </c>
      <c r="F933" t="str">
        <f t="shared" si="28"/>
        <v>Senior</v>
      </c>
      <c r="G933" t="s">
        <v>214</v>
      </c>
      <c r="H933" t="str">
        <f t="shared" si="29"/>
        <v>Jul</v>
      </c>
      <c r="I933" t="s">
        <v>60</v>
      </c>
      <c r="J933" t="s">
        <v>79</v>
      </c>
      <c r="K933" t="s">
        <v>3129</v>
      </c>
      <c r="L933" t="s">
        <v>107</v>
      </c>
      <c r="M933" t="s">
        <v>34</v>
      </c>
      <c r="N933">
        <v>5</v>
      </c>
      <c r="O933" t="s">
        <v>22</v>
      </c>
      <c r="P933">
        <v>1437.71</v>
      </c>
      <c r="Q933" t="s">
        <v>51</v>
      </c>
      <c r="R933" t="s">
        <v>51</v>
      </c>
      <c r="S933">
        <v>110001</v>
      </c>
      <c r="T933" t="s">
        <v>25</v>
      </c>
      <c r="U933" t="s">
        <v>44</v>
      </c>
    </row>
    <row r="934" spans="1:21" x14ac:dyDescent="0.3">
      <c r="A934">
        <v>933</v>
      </c>
      <c r="B934" t="s">
        <v>3130</v>
      </c>
      <c r="C934" t="s">
        <v>3131</v>
      </c>
      <c r="D934" t="s">
        <v>15</v>
      </c>
      <c r="E934">
        <v>32</v>
      </c>
      <c r="F934" t="str">
        <f t="shared" si="28"/>
        <v>Adult</v>
      </c>
      <c r="G934" t="s">
        <v>2159</v>
      </c>
      <c r="H934" t="str">
        <f t="shared" si="29"/>
        <v>Mar</v>
      </c>
      <c r="I934" t="s">
        <v>60</v>
      </c>
      <c r="J934" t="s">
        <v>79</v>
      </c>
      <c r="K934" t="s">
        <v>3132</v>
      </c>
      <c r="L934" t="s">
        <v>107</v>
      </c>
      <c r="M934" t="s">
        <v>85</v>
      </c>
      <c r="N934">
        <v>2</v>
      </c>
      <c r="O934" t="s">
        <v>22</v>
      </c>
      <c r="P934">
        <v>1971.39</v>
      </c>
      <c r="Q934" t="s">
        <v>23</v>
      </c>
      <c r="R934" t="s">
        <v>24</v>
      </c>
      <c r="S934">
        <v>400001</v>
      </c>
      <c r="T934" t="s">
        <v>25</v>
      </c>
      <c r="U934" t="s">
        <v>26</v>
      </c>
    </row>
    <row r="935" spans="1:21" x14ac:dyDescent="0.3">
      <c r="A935">
        <v>934</v>
      </c>
      <c r="B935" t="s">
        <v>3133</v>
      </c>
      <c r="C935" t="s">
        <v>3134</v>
      </c>
      <c r="D935" t="s">
        <v>15</v>
      </c>
      <c r="E935">
        <v>25</v>
      </c>
      <c r="F935" t="str">
        <f t="shared" si="28"/>
        <v>Teenager</v>
      </c>
      <c r="G935" t="s">
        <v>175</v>
      </c>
      <c r="H935" t="str">
        <f t="shared" si="29"/>
        <v>Apr</v>
      </c>
      <c r="I935" t="s">
        <v>60</v>
      </c>
      <c r="J935" t="s">
        <v>79</v>
      </c>
      <c r="K935" t="s">
        <v>3135</v>
      </c>
      <c r="L935" t="s">
        <v>20</v>
      </c>
      <c r="M935" t="s">
        <v>21</v>
      </c>
      <c r="N935">
        <v>3</v>
      </c>
      <c r="O935" t="s">
        <v>22</v>
      </c>
      <c r="P935">
        <v>3517.36</v>
      </c>
      <c r="Q935" t="s">
        <v>35</v>
      </c>
      <c r="R935" t="s">
        <v>36</v>
      </c>
      <c r="S935">
        <v>560001</v>
      </c>
      <c r="T935" t="s">
        <v>25</v>
      </c>
      <c r="U935" t="s">
        <v>44</v>
      </c>
    </row>
    <row r="936" spans="1:21" x14ac:dyDescent="0.3">
      <c r="A936">
        <v>935</v>
      </c>
      <c r="B936" t="s">
        <v>3136</v>
      </c>
      <c r="C936" t="s">
        <v>1641</v>
      </c>
      <c r="D936" t="s">
        <v>15</v>
      </c>
      <c r="E936">
        <v>33</v>
      </c>
      <c r="F936" t="str">
        <f t="shared" si="28"/>
        <v>Adult</v>
      </c>
      <c r="G936" t="s">
        <v>1189</v>
      </c>
      <c r="H936" t="str">
        <f t="shared" si="29"/>
        <v>Feb</v>
      </c>
      <c r="I936" t="s">
        <v>60</v>
      </c>
      <c r="J936" t="s">
        <v>79</v>
      </c>
      <c r="K936" t="s">
        <v>3137</v>
      </c>
      <c r="L936" t="s">
        <v>62</v>
      </c>
      <c r="M936" t="s">
        <v>50</v>
      </c>
      <c r="N936">
        <v>1</v>
      </c>
      <c r="O936" t="s">
        <v>22</v>
      </c>
      <c r="P936">
        <v>4523.46</v>
      </c>
      <c r="Q936" t="s">
        <v>35</v>
      </c>
      <c r="R936" t="s">
        <v>36</v>
      </c>
      <c r="S936">
        <v>560001</v>
      </c>
      <c r="T936" t="s">
        <v>25</v>
      </c>
      <c r="U936" t="s">
        <v>44</v>
      </c>
    </row>
    <row r="937" spans="1:21" x14ac:dyDescent="0.3">
      <c r="A937">
        <v>936</v>
      </c>
      <c r="B937" t="s">
        <v>3138</v>
      </c>
      <c r="C937" t="s">
        <v>3139</v>
      </c>
      <c r="D937" t="s">
        <v>15</v>
      </c>
      <c r="E937">
        <v>60</v>
      </c>
      <c r="F937" t="str">
        <f t="shared" si="28"/>
        <v>Senior</v>
      </c>
      <c r="G937" t="s">
        <v>1785</v>
      </c>
      <c r="H937" t="str">
        <f t="shared" si="29"/>
        <v>Feb</v>
      </c>
      <c r="I937" t="s">
        <v>60</v>
      </c>
      <c r="J937" t="s">
        <v>79</v>
      </c>
      <c r="K937" t="s">
        <v>3140</v>
      </c>
      <c r="L937" t="s">
        <v>33</v>
      </c>
      <c r="M937" t="s">
        <v>50</v>
      </c>
      <c r="N937">
        <v>2</v>
      </c>
      <c r="O937" t="s">
        <v>22</v>
      </c>
      <c r="P937">
        <v>4159.38</v>
      </c>
      <c r="Q937" t="s">
        <v>51</v>
      </c>
      <c r="R937" t="s">
        <v>51</v>
      </c>
      <c r="S937">
        <v>110001</v>
      </c>
      <c r="T937" t="s">
        <v>25</v>
      </c>
      <c r="U937" t="s">
        <v>26</v>
      </c>
    </row>
    <row r="938" spans="1:21" x14ac:dyDescent="0.3">
      <c r="A938">
        <v>937</v>
      </c>
      <c r="B938" t="s">
        <v>3141</v>
      </c>
      <c r="C938" t="s">
        <v>3142</v>
      </c>
      <c r="D938" t="s">
        <v>15</v>
      </c>
      <c r="E938">
        <v>49</v>
      </c>
      <c r="F938" t="str">
        <f t="shared" si="28"/>
        <v>Adult</v>
      </c>
      <c r="G938" t="s">
        <v>1348</v>
      </c>
      <c r="H938" t="str">
        <f t="shared" si="29"/>
        <v>Jan</v>
      </c>
      <c r="I938" t="s">
        <v>60</v>
      </c>
      <c r="J938" t="s">
        <v>79</v>
      </c>
      <c r="K938" t="s">
        <v>3143</v>
      </c>
      <c r="L938" t="s">
        <v>73</v>
      </c>
      <c r="M938" t="s">
        <v>34</v>
      </c>
      <c r="N938">
        <v>2</v>
      </c>
      <c r="O938" t="s">
        <v>22</v>
      </c>
      <c r="P938">
        <v>4901.38</v>
      </c>
      <c r="Q938" t="s">
        <v>42</v>
      </c>
      <c r="R938" t="s">
        <v>43</v>
      </c>
      <c r="S938">
        <v>302001</v>
      </c>
      <c r="T938" t="s">
        <v>25</v>
      </c>
      <c r="U938" t="s">
        <v>26</v>
      </c>
    </row>
    <row r="939" spans="1:21" x14ac:dyDescent="0.3">
      <c r="A939">
        <v>938</v>
      </c>
      <c r="B939" t="s">
        <v>3144</v>
      </c>
      <c r="C939" t="s">
        <v>3145</v>
      </c>
      <c r="D939" t="s">
        <v>15</v>
      </c>
      <c r="E939">
        <v>32</v>
      </c>
      <c r="F939" t="str">
        <f t="shared" si="28"/>
        <v>Adult</v>
      </c>
      <c r="G939" t="s">
        <v>1625</v>
      </c>
      <c r="H939" t="str">
        <f t="shared" si="29"/>
        <v>Mar</v>
      </c>
      <c r="I939" t="s">
        <v>60</v>
      </c>
      <c r="J939" t="s">
        <v>79</v>
      </c>
      <c r="K939" t="s">
        <v>3146</v>
      </c>
      <c r="L939" t="s">
        <v>56</v>
      </c>
      <c r="M939" t="s">
        <v>50</v>
      </c>
      <c r="N939">
        <v>4</v>
      </c>
      <c r="O939" t="s">
        <v>22</v>
      </c>
      <c r="P939">
        <v>409.48</v>
      </c>
      <c r="Q939" t="s">
        <v>23</v>
      </c>
      <c r="R939" t="s">
        <v>24</v>
      </c>
      <c r="S939">
        <v>400001</v>
      </c>
      <c r="T939" t="s">
        <v>25</v>
      </c>
      <c r="U939" t="s">
        <v>44</v>
      </c>
    </row>
    <row r="940" spans="1:21" x14ac:dyDescent="0.3">
      <c r="A940">
        <v>939</v>
      </c>
      <c r="B940" t="s">
        <v>3147</v>
      </c>
      <c r="C940" t="s">
        <v>3148</v>
      </c>
      <c r="D940" t="s">
        <v>15</v>
      </c>
      <c r="E940">
        <v>57</v>
      </c>
      <c r="F940" t="str">
        <f t="shared" si="28"/>
        <v>Senior</v>
      </c>
      <c r="G940" t="s">
        <v>1625</v>
      </c>
      <c r="H940" t="str">
        <f t="shared" si="29"/>
        <v>Mar</v>
      </c>
      <c r="I940" t="s">
        <v>60</v>
      </c>
      <c r="J940" t="s">
        <v>79</v>
      </c>
      <c r="K940" t="s">
        <v>3149</v>
      </c>
      <c r="L940" t="s">
        <v>73</v>
      </c>
      <c r="M940" t="s">
        <v>85</v>
      </c>
      <c r="N940">
        <v>5</v>
      </c>
      <c r="O940" t="s">
        <v>22</v>
      </c>
      <c r="P940">
        <v>2500.71</v>
      </c>
      <c r="Q940" t="s">
        <v>23</v>
      </c>
      <c r="R940" t="s">
        <v>24</v>
      </c>
      <c r="S940">
        <v>400001</v>
      </c>
      <c r="T940" t="s">
        <v>25</v>
      </c>
      <c r="U940" t="s">
        <v>44</v>
      </c>
    </row>
    <row r="941" spans="1:21" x14ac:dyDescent="0.3">
      <c r="A941">
        <v>940</v>
      </c>
      <c r="B941" t="s">
        <v>3150</v>
      </c>
      <c r="C941" t="s">
        <v>3151</v>
      </c>
      <c r="D941" t="s">
        <v>15</v>
      </c>
      <c r="E941">
        <v>56</v>
      </c>
      <c r="F941" t="str">
        <f t="shared" si="28"/>
        <v>Senior</v>
      </c>
      <c r="G941" t="s">
        <v>2516</v>
      </c>
      <c r="H941" t="str">
        <f t="shared" si="29"/>
        <v>May</v>
      </c>
      <c r="I941" t="s">
        <v>60</v>
      </c>
      <c r="J941" t="s">
        <v>79</v>
      </c>
      <c r="K941" t="s">
        <v>3152</v>
      </c>
      <c r="L941" t="s">
        <v>56</v>
      </c>
      <c r="M941" t="s">
        <v>85</v>
      </c>
      <c r="N941">
        <v>4</v>
      </c>
      <c r="O941" t="s">
        <v>22</v>
      </c>
      <c r="P941">
        <v>2310.04</v>
      </c>
      <c r="Q941" t="s">
        <v>23</v>
      </c>
      <c r="R941" t="s">
        <v>24</v>
      </c>
      <c r="S941">
        <v>400001</v>
      </c>
      <c r="T941" t="s">
        <v>25</v>
      </c>
      <c r="U941" t="s">
        <v>26</v>
      </c>
    </row>
    <row r="942" spans="1:21" x14ac:dyDescent="0.3">
      <c r="A942">
        <v>941</v>
      </c>
      <c r="B942" t="s">
        <v>3153</v>
      </c>
      <c r="C942" t="s">
        <v>3154</v>
      </c>
      <c r="D942" t="s">
        <v>15</v>
      </c>
      <c r="E942">
        <v>44</v>
      </c>
      <c r="F942" t="str">
        <f t="shared" si="28"/>
        <v>Adult</v>
      </c>
      <c r="G942" t="s">
        <v>2280</v>
      </c>
      <c r="H942" t="str">
        <f t="shared" si="29"/>
        <v>Apr</v>
      </c>
      <c r="I942" t="s">
        <v>60</v>
      </c>
      <c r="J942" t="s">
        <v>79</v>
      </c>
      <c r="K942" t="s">
        <v>3155</v>
      </c>
      <c r="L942" t="s">
        <v>62</v>
      </c>
      <c r="M942" t="s">
        <v>50</v>
      </c>
      <c r="N942">
        <v>1</v>
      </c>
      <c r="O942" t="s">
        <v>22</v>
      </c>
      <c r="P942">
        <v>3365.14</v>
      </c>
      <c r="Q942" t="s">
        <v>35</v>
      </c>
      <c r="R942" t="s">
        <v>36</v>
      </c>
      <c r="S942">
        <v>560001</v>
      </c>
      <c r="T942" t="s">
        <v>25</v>
      </c>
      <c r="U942" t="s">
        <v>44</v>
      </c>
    </row>
    <row r="943" spans="1:21" x14ac:dyDescent="0.3">
      <c r="A943">
        <v>942</v>
      </c>
      <c r="B943" t="s">
        <v>3156</v>
      </c>
      <c r="C943" t="s">
        <v>3157</v>
      </c>
      <c r="D943" t="s">
        <v>15</v>
      </c>
      <c r="E943">
        <v>37</v>
      </c>
      <c r="F943" t="str">
        <f t="shared" si="28"/>
        <v>Adult</v>
      </c>
      <c r="G943" t="s">
        <v>218</v>
      </c>
      <c r="H943" t="str">
        <f t="shared" si="29"/>
        <v>Mar</v>
      </c>
      <c r="I943" t="s">
        <v>60</v>
      </c>
      <c r="J943" t="s">
        <v>79</v>
      </c>
      <c r="K943" t="s">
        <v>3158</v>
      </c>
      <c r="L943" t="s">
        <v>20</v>
      </c>
      <c r="M943" t="s">
        <v>34</v>
      </c>
      <c r="N943">
        <v>1</v>
      </c>
      <c r="O943" t="s">
        <v>22</v>
      </c>
      <c r="P943">
        <v>3555.28</v>
      </c>
      <c r="Q943" t="s">
        <v>51</v>
      </c>
      <c r="R943" t="s">
        <v>51</v>
      </c>
      <c r="S943">
        <v>110001</v>
      </c>
      <c r="T943" t="s">
        <v>25</v>
      </c>
      <c r="U943" t="s">
        <v>44</v>
      </c>
    </row>
    <row r="944" spans="1:21" x14ac:dyDescent="0.3">
      <c r="A944">
        <v>943</v>
      </c>
      <c r="B944" t="s">
        <v>3159</v>
      </c>
      <c r="C944" t="s">
        <v>3160</v>
      </c>
      <c r="D944" t="s">
        <v>15</v>
      </c>
      <c r="E944">
        <v>20</v>
      </c>
      <c r="F944" t="str">
        <f t="shared" si="28"/>
        <v>Teenager</v>
      </c>
      <c r="G944" t="s">
        <v>1070</v>
      </c>
      <c r="H944" t="str">
        <f t="shared" si="29"/>
        <v>Jan</v>
      </c>
      <c r="I944" t="s">
        <v>60</v>
      </c>
      <c r="J944" t="s">
        <v>79</v>
      </c>
      <c r="K944" t="s">
        <v>3161</v>
      </c>
      <c r="L944" t="s">
        <v>107</v>
      </c>
      <c r="M944" t="s">
        <v>21</v>
      </c>
      <c r="N944">
        <v>1</v>
      </c>
      <c r="O944" t="s">
        <v>22</v>
      </c>
      <c r="P944">
        <v>3429.8</v>
      </c>
      <c r="Q944" t="s">
        <v>42</v>
      </c>
      <c r="R944" t="s">
        <v>43</v>
      </c>
      <c r="S944">
        <v>302001</v>
      </c>
      <c r="T944" t="s">
        <v>25</v>
      </c>
      <c r="U944" t="s">
        <v>44</v>
      </c>
    </row>
    <row r="945" spans="1:21" x14ac:dyDescent="0.3">
      <c r="A945">
        <v>944</v>
      </c>
      <c r="B945" t="s">
        <v>3162</v>
      </c>
      <c r="C945" t="s">
        <v>3163</v>
      </c>
      <c r="D945" t="s">
        <v>15</v>
      </c>
      <c r="E945">
        <v>57</v>
      </c>
      <c r="F945" t="str">
        <f t="shared" si="28"/>
        <v>Senior</v>
      </c>
      <c r="G945" t="s">
        <v>1193</v>
      </c>
      <c r="H945" t="str">
        <f t="shared" si="29"/>
        <v>Dec</v>
      </c>
      <c r="I945" t="s">
        <v>60</v>
      </c>
      <c r="J945" t="s">
        <v>79</v>
      </c>
      <c r="K945" t="s">
        <v>3164</v>
      </c>
      <c r="L945" t="s">
        <v>20</v>
      </c>
      <c r="M945" t="s">
        <v>85</v>
      </c>
      <c r="N945">
        <v>2</v>
      </c>
      <c r="O945" t="s">
        <v>22</v>
      </c>
      <c r="P945">
        <v>3329.48</v>
      </c>
      <c r="Q945" t="s">
        <v>51</v>
      </c>
      <c r="R945" t="s">
        <v>51</v>
      </c>
      <c r="S945">
        <v>110001</v>
      </c>
      <c r="T945" t="s">
        <v>25</v>
      </c>
      <c r="U945" t="s">
        <v>26</v>
      </c>
    </row>
    <row r="946" spans="1:21" x14ac:dyDescent="0.3">
      <c r="A946">
        <v>945</v>
      </c>
      <c r="B946" t="s">
        <v>3165</v>
      </c>
      <c r="C946" t="s">
        <v>3166</v>
      </c>
      <c r="D946" t="s">
        <v>15</v>
      </c>
      <c r="E946">
        <v>53</v>
      </c>
      <c r="F946" t="str">
        <f t="shared" si="28"/>
        <v>Senior</v>
      </c>
      <c r="G946" t="s">
        <v>147</v>
      </c>
      <c r="H946" t="str">
        <f t="shared" si="29"/>
        <v>Oct</v>
      </c>
      <c r="I946" t="s">
        <v>60</v>
      </c>
      <c r="J946" t="s">
        <v>79</v>
      </c>
      <c r="K946" t="s">
        <v>3167</v>
      </c>
      <c r="L946" t="s">
        <v>107</v>
      </c>
      <c r="M946" t="s">
        <v>21</v>
      </c>
      <c r="N946">
        <v>5</v>
      </c>
      <c r="O946" t="s">
        <v>22</v>
      </c>
      <c r="P946">
        <v>1795.77</v>
      </c>
      <c r="Q946" t="s">
        <v>51</v>
      </c>
      <c r="R946" t="s">
        <v>51</v>
      </c>
      <c r="S946">
        <v>110001</v>
      </c>
      <c r="T946" t="s">
        <v>25</v>
      </c>
      <c r="U946" t="s">
        <v>26</v>
      </c>
    </row>
    <row r="947" spans="1:21" x14ac:dyDescent="0.3">
      <c r="A947">
        <v>946</v>
      </c>
      <c r="B947" t="s">
        <v>3168</v>
      </c>
      <c r="C947" t="s">
        <v>3169</v>
      </c>
      <c r="D947" t="s">
        <v>15</v>
      </c>
      <c r="E947">
        <v>31</v>
      </c>
      <c r="F947" t="str">
        <f t="shared" si="28"/>
        <v>Adult</v>
      </c>
      <c r="G947" t="s">
        <v>692</v>
      </c>
      <c r="H947" t="str">
        <f t="shared" si="29"/>
        <v>Dec</v>
      </c>
      <c r="I947" t="s">
        <v>60</v>
      </c>
      <c r="J947" t="s">
        <v>79</v>
      </c>
      <c r="K947" t="s">
        <v>3170</v>
      </c>
      <c r="L947" t="s">
        <v>56</v>
      </c>
      <c r="M947" t="s">
        <v>85</v>
      </c>
      <c r="N947">
        <v>1</v>
      </c>
      <c r="O947" t="s">
        <v>22</v>
      </c>
      <c r="P947">
        <v>788.81</v>
      </c>
      <c r="Q947" t="s">
        <v>74</v>
      </c>
      <c r="R947" t="s">
        <v>75</v>
      </c>
      <c r="S947">
        <v>226001</v>
      </c>
      <c r="T947" t="s">
        <v>25</v>
      </c>
      <c r="U947" t="s">
        <v>44</v>
      </c>
    </row>
    <row r="948" spans="1:21" x14ac:dyDescent="0.3">
      <c r="A948">
        <v>947</v>
      </c>
      <c r="B948" t="s">
        <v>3171</v>
      </c>
      <c r="C948" t="s">
        <v>3172</v>
      </c>
      <c r="D948" t="s">
        <v>15</v>
      </c>
      <c r="E948">
        <v>59</v>
      </c>
      <c r="F948" t="str">
        <f t="shared" si="28"/>
        <v>Senior</v>
      </c>
      <c r="G948" t="s">
        <v>1095</v>
      </c>
      <c r="H948" t="str">
        <f t="shared" si="29"/>
        <v>Sep</v>
      </c>
      <c r="I948" t="s">
        <v>60</v>
      </c>
      <c r="J948" t="s">
        <v>79</v>
      </c>
      <c r="K948" t="s">
        <v>3173</v>
      </c>
      <c r="L948" t="s">
        <v>62</v>
      </c>
      <c r="M948" t="s">
        <v>85</v>
      </c>
      <c r="N948">
        <v>3</v>
      </c>
      <c r="O948" t="s">
        <v>22</v>
      </c>
      <c r="P948">
        <v>700.51</v>
      </c>
      <c r="Q948" t="s">
        <v>35</v>
      </c>
      <c r="R948" t="s">
        <v>36</v>
      </c>
      <c r="S948">
        <v>560001</v>
      </c>
      <c r="T948" t="s">
        <v>25</v>
      </c>
      <c r="U948" t="s">
        <v>26</v>
      </c>
    </row>
    <row r="949" spans="1:21" x14ac:dyDescent="0.3">
      <c r="A949">
        <v>948</v>
      </c>
      <c r="B949" t="s">
        <v>3174</v>
      </c>
      <c r="C949" t="s">
        <v>3175</v>
      </c>
      <c r="D949" t="s">
        <v>15</v>
      </c>
      <c r="E949">
        <v>34</v>
      </c>
      <c r="F949" t="str">
        <f t="shared" si="28"/>
        <v>Adult</v>
      </c>
      <c r="G949" t="s">
        <v>1716</v>
      </c>
      <c r="H949" t="str">
        <f t="shared" si="29"/>
        <v>Jan</v>
      </c>
      <c r="I949" t="s">
        <v>60</v>
      </c>
      <c r="J949" t="s">
        <v>79</v>
      </c>
      <c r="K949" t="s">
        <v>3176</v>
      </c>
      <c r="L949" t="s">
        <v>73</v>
      </c>
      <c r="M949" t="s">
        <v>21</v>
      </c>
      <c r="N949">
        <v>5</v>
      </c>
      <c r="O949" t="s">
        <v>22</v>
      </c>
      <c r="P949">
        <v>2310.5700000000002</v>
      </c>
      <c r="Q949" t="s">
        <v>23</v>
      </c>
      <c r="R949" t="s">
        <v>24</v>
      </c>
      <c r="S949">
        <v>400001</v>
      </c>
      <c r="T949" t="s">
        <v>25</v>
      </c>
      <c r="U949" t="s">
        <v>44</v>
      </c>
    </row>
    <row r="950" spans="1:21" x14ac:dyDescent="0.3">
      <c r="A950">
        <v>949</v>
      </c>
      <c r="B950" t="s">
        <v>3177</v>
      </c>
      <c r="C950" t="s">
        <v>2404</v>
      </c>
      <c r="D950" t="s">
        <v>15</v>
      </c>
      <c r="E950">
        <v>25</v>
      </c>
      <c r="F950" t="str">
        <f t="shared" si="28"/>
        <v>Teenager</v>
      </c>
      <c r="G950" t="s">
        <v>539</v>
      </c>
      <c r="H950" t="str">
        <f t="shared" si="29"/>
        <v>May</v>
      </c>
      <c r="I950" t="s">
        <v>60</v>
      </c>
      <c r="J950" t="s">
        <v>79</v>
      </c>
      <c r="K950" t="s">
        <v>3178</v>
      </c>
      <c r="L950" t="s">
        <v>107</v>
      </c>
      <c r="M950" t="s">
        <v>85</v>
      </c>
      <c r="N950">
        <v>4</v>
      </c>
      <c r="O950" t="s">
        <v>22</v>
      </c>
      <c r="P950">
        <v>2625.16</v>
      </c>
      <c r="Q950" t="s">
        <v>74</v>
      </c>
      <c r="R950" t="s">
        <v>75</v>
      </c>
      <c r="S950">
        <v>226001</v>
      </c>
      <c r="T950" t="s">
        <v>25</v>
      </c>
      <c r="U950" t="s">
        <v>44</v>
      </c>
    </row>
    <row r="951" spans="1:21" x14ac:dyDescent="0.3">
      <c r="A951">
        <v>950</v>
      </c>
      <c r="B951" t="s">
        <v>3179</v>
      </c>
      <c r="C951" t="s">
        <v>3180</v>
      </c>
      <c r="D951" t="s">
        <v>15</v>
      </c>
      <c r="E951">
        <v>32</v>
      </c>
      <c r="F951" t="str">
        <f t="shared" si="28"/>
        <v>Adult</v>
      </c>
      <c r="G951" t="s">
        <v>985</v>
      </c>
      <c r="H951" t="str">
        <f t="shared" si="29"/>
        <v>Mar</v>
      </c>
      <c r="I951" t="s">
        <v>60</v>
      </c>
      <c r="J951" t="s">
        <v>79</v>
      </c>
      <c r="K951" t="s">
        <v>3181</v>
      </c>
      <c r="L951" t="s">
        <v>56</v>
      </c>
      <c r="M951" t="s">
        <v>85</v>
      </c>
      <c r="N951">
        <v>2</v>
      </c>
      <c r="O951" t="s">
        <v>22</v>
      </c>
      <c r="P951">
        <v>4419.7</v>
      </c>
      <c r="Q951" t="s">
        <v>35</v>
      </c>
      <c r="R951" t="s">
        <v>36</v>
      </c>
      <c r="S951">
        <v>560001</v>
      </c>
      <c r="T951" t="s">
        <v>25</v>
      </c>
      <c r="U951" t="s">
        <v>44</v>
      </c>
    </row>
    <row r="952" spans="1:21" x14ac:dyDescent="0.3">
      <c r="A952">
        <v>951</v>
      </c>
      <c r="B952" t="s">
        <v>3182</v>
      </c>
      <c r="C952" t="s">
        <v>3183</v>
      </c>
      <c r="D952" t="s">
        <v>15</v>
      </c>
      <c r="E952">
        <v>21</v>
      </c>
      <c r="F952" t="str">
        <f t="shared" si="28"/>
        <v>Teenager</v>
      </c>
      <c r="G952" t="s">
        <v>1398</v>
      </c>
      <c r="H952" t="str">
        <f t="shared" si="29"/>
        <v>Oct</v>
      </c>
      <c r="I952" t="s">
        <v>60</v>
      </c>
      <c r="J952" t="s">
        <v>79</v>
      </c>
      <c r="K952" t="s">
        <v>3184</v>
      </c>
      <c r="L952" t="s">
        <v>20</v>
      </c>
      <c r="M952" t="s">
        <v>21</v>
      </c>
      <c r="N952">
        <v>3</v>
      </c>
      <c r="O952" t="s">
        <v>22</v>
      </c>
      <c r="P952">
        <v>4834.41</v>
      </c>
      <c r="Q952" t="s">
        <v>23</v>
      </c>
      <c r="R952" t="s">
        <v>24</v>
      </c>
      <c r="S952">
        <v>400001</v>
      </c>
      <c r="T952" t="s">
        <v>25</v>
      </c>
      <c r="U952" t="s">
        <v>44</v>
      </c>
    </row>
    <row r="953" spans="1:21" x14ac:dyDescent="0.3">
      <c r="A953">
        <v>952</v>
      </c>
      <c r="B953" t="s">
        <v>3185</v>
      </c>
      <c r="C953" t="s">
        <v>3186</v>
      </c>
      <c r="D953" t="s">
        <v>15</v>
      </c>
      <c r="E953">
        <v>33</v>
      </c>
      <c r="F953" t="str">
        <f t="shared" si="28"/>
        <v>Adult</v>
      </c>
      <c r="G953" t="s">
        <v>500</v>
      </c>
      <c r="H953" t="str">
        <f t="shared" si="29"/>
        <v>May</v>
      </c>
      <c r="I953" t="s">
        <v>60</v>
      </c>
      <c r="J953" t="s">
        <v>79</v>
      </c>
      <c r="K953" t="s">
        <v>3187</v>
      </c>
      <c r="L953" t="s">
        <v>20</v>
      </c>
      <c r="M953" t="s">
        <v>21</v>
      </c>
      <c r="N953">
        <v>3</v>
      </c>
      <c r="O953" t="s">
        <v>22</v>
      </c>
      <c r="P953">
        <v>2537.2399999999998</v>
      </c>
      <c r="Q953" t="s">
        <v>51</v>
      </c>
      <c r="R953" t="s">
        <v>51</v>
      </c>
      <c r="S953">
        <v>110001</v>
      </c>
      <c r="T953" t="s">
        <v>25</v>
      </c>
      <c r="U953" t="s">
        <v>26</v>
      </c>
    </row>
    <row r="954" spans="1:21" x14ac:dyDescent="0.3">
      <c r="A954">
        <v>953</v>
      </c>
      <c r="B954" t="s">
        <v>3188</v>
      </c>
      <c r="C954" t="s">
        <v>3189</v>
      </c>
      <c r="D954" t="s">
        <v>15</v>
      </c>
      <c r="E954">
        <v>56</v>
      </c>
      <c r="F954" t="str">
        <f t="shared" si="28"/>
        <v>Senior</v>
      </c>
      <c r="G954" t="s">
        <v>1228</v>
      </c>
      <c r="H954" t="str">
        <f t="shared" si="29"/>
        <v>Sep</v>
      </c>
      <c r="I954" t="s">
        <v>60</v>
      </c>
      <c r="J954" t="s">
        <v>79</v>
      </c>
      <c r="K954" t="s">
        <v>3190</v>
      </c>
      <c r="L954" t="s">
        <v>107</v>
      </c>
      <c r="M954" t="s">
        <v>21</v>
      </c>
      <c r="N954">
        <v>2</v>
      </c>
      <c r="O954" t="s">
        <v>22</v>
      </c>
      <c r="P954">
        <v>4326.1099999999997</v>
      </c>
      <c r="Q954" t="s">
        <v>42</v>
      </c>
      <c r="R954" t="s">
        <v>43</v>
      </c>
      <c r="S954">
        <v>302001</v>
      </c>
      <c r="T954" t="s">
        <v>25</v>
      </c>
      <c r="U954" t="s">
        <v>44</v>
      </c>
    </row>
    <row r="955" spans="1:21" x14ac:dyDescent="0.3">
      <c r="A955">
        <v>954</v>
      </c>
      <c r="B955" t="s">
        <v>3191</v>
      </c>
      <c r="C955" t="s">
        <v>3192</v>
      </c>
      <c r="D955" t="s">
        <v>15</v>
      </c>
      <c r="E955">
        <v>51</v>
      </c>
      <c r="F955" t="str">
        <f t="shared" si="28"/>
        <v>Senior</v>
      </c>
      <c r="G955" t="s">
        <v>2728</v>
      </c>
      <c r="H955" t="str">
        <f t="shared" si="29"/>
        <v>Nov</v>
      </c>
      <c r="I955" t="s">
        <v>70</v>
      </c>
      <c r="J955" t="s">
        <v>79</v>
      </c>
      <c r="K955" t="s">
        <v>3193</v>
      </c>
      <c r="L955" t="s">
        <v>107</v>
      </c>
      <c r="M955" t="s">
        <v>34</v>
      </c>
      <c r="N955">
        <v>3</v>
      </c>
      <c r="O955" t="s">
        <v>22</v>
      </c>
      <c r="P955">
        <v>3261.92</v>
      </c>
      <c r="Q955" t="s">
        <v>51</v>
      </c>
      <c r="R955" t="s">
        <v>51</v>
      </c>
      <c r="S955">
        <v>110001</v>
      </c>
      <c r="T955" t="s">
        <v>25</v>
      </c>
      <c r="U955" t="s">
        <v>44</v>
      </c>
    </row>
    <row r="956" spans="1:21" x14ac:dyDescent="0.3">
      <c r="A956">
        <v>955</v>
      </c>
      <c r="B956" t="s">
        <v>3194</v>
      </c>
      <c r="C956" t="s">
        <v>3195</v>
      </c>
      <c r="D956" t="s">
        <v>15</v>
      </c>
      <c r="E956">
        <v>51</v>
      </c>
      <c r="F956" t="str">
        <f t="shared" si="28"/>
        <v>Senior</v>
      </c>
      <c r="G956" t="s">
        <v>1228</v>
      </c>
      <c r="H956" t="str">
        <f t="shared" si="29"/>
        <v>Sep</v>
      </c>
      <c r="I956" t="s">
        <v>48</v>
      </c>
      <c r="J956" t="s">
        <v>79</v>
      </c>
      <c r="K956" t="s">
        <v>3196</v>
      </c>
      <c r="L956" t="s">
        <v>56</v>
      </c>
      <c r="M956" t="s">
        <v>85</v>
      </c>
      <c r="N956">
        <v>5</v>
      </c>
      <c r="O956" t="s">
        <v>22</v>
      </c>
      <c r="P956">
        <v>2680.3</v>
      </c>
      <c r="Q956" t="s">
        <v>51</v>
      </c>
      <c r="R956" t="s">
        <v>51</v>
      </c>
      <c r="S956">
        <v>110001</v>
      </c>
      <c r="T956" t="s">
        <v>25</v>
      </c>
      <c r="U956" t="s">
        <v>26</v>
      </c>
    </row>
    <row r="957" spans="1:21" x14ac:dyDescent="0.3">
      <c r="A957">
        <v>956</v>
      </c>
      <c r="B957" t="s">
        <v>3197</v>
      </c>
      <c r="C957" t="s">
        <v>3198</v>
      </c>
      <c r="D957" t="s">
        <v>15</v>
      </c>
      <c r="E957">
        <v>19</v>
      </c>
      <c r="F957" t="str">
        <f t="shared" si="28"/>
        <v>Teenager</v>
      </c>
      <c r="G957" t="s">
        <v>1810</v>
      </c>
      <c r="H957" t="str">
        <f t="shared" si="29"/>
        <v>Oct</v>
      </c>
      <c r="I957" t="s">
        <v>70</v>
      </c>
      <c r="J957" t="s">
        <v>79</v>
      </c>
      <c r="K957" t="s">
        <v>3199</v>
      </c>
      <c r="L957" t="s">
        <v>73</v>
      </c>
      <c r="M957" t="s">
        <v>50</v>
      </c>
      <c r="N957">
        <v>5</v>
      </c>
      <c r="O957" t="s">
        <v>22</v>
      </c>
      <c r="P957">
        <v>2117.4299999999998</v>
      </c>
      <c r="Q957" t="s">
        <v>35</v>
      </c>
      <c r="R957" t="s">
        <v>36</v>
      </c>
      <c r="S957">
        <v>560001</v>
      </c>
      <c r="T957" t="s">
        <v>25</v>
      </c>
      <c r="U957" t="s">
        <v>26</v>
      </c>
    </row>
    <row r="958" spans="1:21" x14ac:dyDescent="0.3">
      <c r="A958">
        <v>957</v>
      </c>
      <c r="B958" t="s">
        <v>3200</v>
      </c>
      <c r="C958" t="s">
        <v>3201</v>
      </c>
      <c r="D958" t="s">
        <v>15</v>
      </c>
      <c r="E958">
        <v>55</v>
      </c>
      <c r="F958" t="str">
        <f t="shared" si="28"/>
        <v>Senior</v>
      </c>
      <c r="G958" t="s">
        <v>488</v>
      </c>
      <c r="H958" t="str">
        <f t="shared" si="29"/>
        <v>Oct</v>
      </c>
      <c r="I958" t="s">
        <v>60</v>
      </c>
      <c r="J958" t="s">
        <v>79</v>
      </c>
      <c r="K958" t="s">
        <v>3202</v>
      </c>
      <c r="L958" t="s">
        <v>20</v>
      </c>
      <c r="M958" t="s">
        <v>85</v>
      </c>
      <c r="N958">
        <v>2</v>
      </c>
      <c r="O958" t="s">
        <v>22</v>
      </c>
      <c r="P958">
        <v>1175.29</v>
      </c>
      <c r="Q958" t="s">
        <v>74</v>
      </c>
      <c r="R958" t="s">
        <v>75</v>
      </c>
      <c r="S958">
        <v>226001</v>
      </c>
      <c r="T958" t="s">
        <v>25</v>
      </c>
      <c r="U958" t="s">
        <v>44</v>
      </c>
    </row>
    <row r="959" spans="1:21" x14ac:dyDescent="0.3">
      <c r="A959">
        <v>958</v>
      </c>
      <c r="B959" t="s">
        <v>3203</v>
      </c>
      <c r="C959" t="s">
        <v>3204</v>
      </c>
      <c r="D959" t="s">
        <v>15</v>
      </c>
      <c r="E959">
        <v>46</v>
      </c>
      <c r="F959" t="str">
        <f t="shared" si="28"/>
        <v>Adult</v>
      </c>
      <c r="G959" t="s">
        <v>1283</v>
      </c>
      <c r="H959" t="str">
        <f t="shared" si="29"/>
        <v>Jan</v>
      </c>
      <c r="I959" t="s">
        <v>70</v>
      </c>
      <c r="J959" t="s">
        <v>79</v>
      </c>
      <c r="K959" t="s">
        <v>3205</v>
      </c>
      <c r="L959" t="s">
        <v>62</v>
      </c>
      <c r="M959" t="s">
        <v>21</v>
      </c>
      <c r="N959">
        <v>3</v>
      </c>
      <c r="O959" t="s">
        <v>22</v>
      </c>
      <c r="P959">
        <v>348.38</v>
      </c>
      <c r="Q959" t="s">
        <v>51</v>
      </c>
      <c r="R959" t="s">
        <v>51</v>
      </c>
      <c r="S959">
        <v>110001</v>
      </c>
      <c r="T959" t="s">
        <v>25</v>
      </c>
      <c r="U959" t="s">
        <v>44</v>
      </c>
    </row>
    <row r="960" spans="1:21" x14ac:dyDescent="0.3">
      <c r="A960">
        <v>959</v>
      </c>
      <c r="B960" t="s">
        <v>3206</v>
      </c>
      <c r="C960" t="s">
        <v>1363</v>
      </c>
      <c r="D960" t="s">
        <v>15</v>
      </c>
      <c r="E960">
        <v>50</v>
      </c>
      <c r="F960" t="str">
        <f t="shared" si="28"/>
        <v>Senior</v>
      </c>
      <c r="G960" t="s">
        <v>2516</v>
      </c>
      <c r="H960" t="str">
        <f t="shared" si="29"/>
        <v>May</v>
      </c>
      <c r="I960" t="s">
        <v>60</v>
      </c>
      <c r="J960" t="s">
        <v>79</v>
      </c>
      <c r="K960" t="s">
        <v>3207</v>
      </c>
      <c r="L960" t="s">
        <v>73</v>
      </c>
      <c r="M960" t="s">
        <v>50</v>
      </c>
      <c r="N960">
        <v>3</v>
      </c>
      <c r="O960" t="s">
        <v>22</v>
      </c>
      <c r="P960">
        <v>2859.15</v>
      </c>
      <c r="Q960" t="s">
        <v>51</v>
      </c>
      <c r="R960" t="s">
        <v>51</v>
      </c>
      <c r="S960">
        <v>110001</v>
      </c>
      <c r="T960" t="s">
        <v>25</v>
      </c>
      <c r="U960" t="s">
        <v>26</v>
      </c>
    </row>
    <row r="961" spans="1:21" x14ac:dyDescent="0.3">
      <c r="A961">
        <v>960</v>
      </c>
      <c r="B961" t="s">
        <v>3208</v>
      </c>
      <c r="C961" t="s">
        <v>3209</v>
      </c>
      <c r="D961" t="s">
        <v>15</v>
      </c>
      <c r="E961">
        <v>57</v>
      </c>
      <c r="F961" t="str">
        <f t="shared" si="28"/>
        <v>Senior</v>
      </c>
      <c r="G961" t="s">
        <v>3210</v>
      </c>
      <c r="H961" t="str">
        <f t="shared" si="29"/>
        <v>Nov</v>
      </c>
      <c r="I961" t="s">
        <v>60</v>
      </c>
      <c r="J961" t="s">
        <v>79</v>
      </c>
      <c r="K961" t="s">
        <v>3211</v>
      </c>
      <c r="L961" t="s">
        <v>107</v>
      </c>
      <c r="M961" t="s">
        <v>85</v>
      </c>
      <c r="N961">
        <v>1</v>
      </c>
      <c r="O961" t="s">
        <v>22</v>
      </c>
      <c r="P961">
        <v>4187.16</v>
      </c>
      <c r="Q961" t="s">
        <v>74</v>
      </c>
      <c r="R961" t="s">
        <v>75</v>
      </c>
      <c r="S961">
        <v>226001</v>
      </c>
      <c r="T961" t="s">
        <v>25</v>
      </c>
      <c r="U961" t="s">
        <v>26</v>
      </c>
    </row>
    <row r="962" spans="1:21" x14ac:dyDescent="0.3">
      <c r="A962">
        <v>961</v>
      </c>
      <c r="B962" t="s">
        <v>3212</v>
      </c>
      <c r="C962" t="s">
        <v>3213</v>
      </c>
      <c r="D962" t="s">
        <v>15</v>
      </c>
      <c r="E962">
        <v>47</v>
      </c>
      <c r="F962" t="str">
        <f t="shared" si="28"/>
        <v>Adult</v>
      </c>
      <c r="G962" t="s">
        <v>114</v>
      </c>
      <c r="H962" t="str">
        <f t="shared" si="29"/>
        <v>Mar</v>
      </c>
      <c r="I962" t="s">
        <v>70</v>
      </c>
      <c r="J962" t="s">
        <v>79</v>
      </c>
      <c r="K962" t="s">
        <v>3214</v>
      </c>
      <c r="L962" t="s">
        <v>20</v>
      </c>
      <c r="M962" t="s">
        <v>34</v>
      </c>
      <c r="N962">
        <v>3</v>
      </c>
      <c r="O962" t="s">
        <v>22</v>
      </c>
      <c r="P962">
        <v>2486.31</v>
      </c>
      <c r="Q962" t="s">
        <v>51</v>
      </c>
      <c r="R962" t="s">
        <v>51</v>
      </c>
      <c r="S962">
        <v>110001</v>
      </c>
      <c r="T962" t="s">
        <v>25</v>
      </c>
      <c r="U962" t="s">
        <v>26</v>
      </c>
    </row>
    <row r="963" spans="1:21" x14ac:dyDescent="0.3">
      <c r="A963">
        <v>962</v>
      </c>
      <c r="B963" t="s">
        <v>3215</v>
      </c>
      <c r="C963" t="s">
        <v>3216</v>
      </c>
      <c r="D963" t="s">
        <v>15</v>
      </c>
      <c r="E963">
        <v>42</v>
      </c>
      <c r="F963" t="str">
        <f t="shared" ref="F963:F1001" si="30">IF(E963&gt;=50,"Senior", IF(E963&gt;=30, "Adult","Teenager"))</f>
        <v>Adult</v>
      </c>
      <c r="G963" t="s">
        <v>1375</v>
      </c>
      <c r="H963" t="str">
        <f t="shared" ref="H963:H1001" si="31">TEXT(G963,"MMM")</f>
        <v>Apr</v>
      </c>
      <c r="I963" t="s">
        <v>17</v>
      </c>
      <c r="J963" t="s">
        <v>31</v>
      </c>
      <c r="K963" t="s">
        <v>3217</v>
      </c>
      <c r="L963" t="s">
        <v>107</v>
      </c>
      <c r="M963" t="s">
        <v>50</v>
      </c>
      <c r="N963">
        <v>4</v>
      </c>
      <c r="O963" t="s">
        <v>22</v>
      </c>
      <c r="P963">
        <v>3601.08</v>
      </c>
      <c r="Q963" t="s">
        <v>42</v>
      </c>
      <c r="R963" t="s">
        <v>43</v>
      </c>
      <c r="S963">
        <v>302001</v>
      </c>
      <c r="T963" t="s">
        <v>25</v>
      </c>
      <c r="U963" t="s">
        <v>26</v>
      </c>
    </row>
    <row r="964" spans="1:21" x14ac:dyDescent="0.3">
      <c r="A964">
        <v>963</v>
      </c>
      <c r="B964" t="s">
        <v>3218</v>
      </c>
      <c r="C964" t="s">
        <v>3219</v>
      </c>
      <c r="D964" t="s">
        <v>15</v>
      </c>
      <c r="E964">
        <v>49</v>
      </c>
      <c r="F964" t="str">
        <f t="shared" si="30"/>
        <v>Adult</v>
      </c>
      <c r="G964" t="s">
        <v>764</v>
      </c>
      <c r="H964" t="str">
        <f t="shared" si="31"/>
        <v>Nov</v>
      </c>
      <c r="I964" t="s">
        <v>17</v>
      </c>
      <c r="J964" t="s">
        <v>31</v>
      </c>
      <c r="K964" t="s">
        <v>3220</v>
      </c>
      <c r="L964" t="s">
        <v>20</v>
      </c>
      <c r="M964" t="s">
        <v>34</v>
      </c>
      <c r="N964">
        <v>4</v>
      </c>
      <c r="O964" t="s">
        <v>22</v>
      </c>
      <c r="P964">
        <v>3995.84</v>
      </c>
      <c r="Q964" t="s">
        <v>74</v>
      </c>
      <c r="R964" t="s">
        <v>75</v>
      </c>
      <c r="S964">
        <v>226001</v>
      </c>
      <c r="T964" t="s">
        <v>25</v>
      </c>
      <c r="U964" t="s">
        <v>44</v>
      </c>
    </row>
    <row r="965" spans="1:21" x14ac:dyDescent="0.3">
      <c r="A965">
        <v>964</v>
      </c>
      <c r="B965" t="s">
        <v>3221</v>
      </c>
      <c r="C965" t="s">
        <v>3222</v>
      </c>
      <c r="D965" t="s">
        <v>15</v>
      </c>
      <c r="E965">
        <v>36</v>
      </c>
      <c r="F965" t="str">
        <f t="shared" si="30"/>
        <v>Adult</v>
      </c>
      <c r="G965" t="s">
        <v>1388</v>
      </c>
      <c r="H965" t="str">
        <f t="shared" si="31"/>
        <v>Nov</v>
      </c>
      <c r="I965" t="s">
        <v>60</v>
      </c>
      <c r="J965" t="s">
        <v>31</v>
      </c>
      <c r="K965" t="s">
        <v>3223</v>
      </c>
      <c r="L965" t="s">
        <v>73</v>
      </c>
      <c r="M965" t="s">
        <v>50</v>
      </c>
      <c r="N965">
        <v>3</v>
      </c>
      <c r="O965" t="s">
        <v>22</v>
      </c>
      <c r="P965">
        <v>1843.61</v>
      </c>
      <c r="Q965" t="s">
        <v>74</v>
      </c>
      <c r="R965" t="s">
        <v>75</v>
      </c>
      <c r="S965">
        <v>226001</v>
      </c>
      <c r="T965" t="s">
        <v>25</v>
      </c>
      <c r="U965" t="s">
        <v>26</v>
      </c>
    </row>
    <row r="966" spans="1:21" x14ac:dyDescent="0.3">
      <c r="A966">
        <v>965</v>
      </c>
      <c r="B966" t="s">
        <v>3224</v>
      </c>
      <c r="C966" t="s">
        <v>3225</v>
      </c>
      <c r="D966" t="s">
        <v>15</v>
      </c>
      <c r="E966">
        <v>28</v>
      </c>
      <c r="F966" t="str">
        <f t="shared" si="30"/>
        <v>Teenager</v>
      </c>
      <c r="G966" t="s">
        <v>191</v>
      </c>
      <c r="H966" t="str">
        <f t="shared" si="31"/>
        <v>Sep</v>
      </c>
      <c r="I966" t="s">
        <v>60</v>
      </c>
      <c r="J966" t="s">
        <v>31</v>
      </c>
      <c r="K966" t="s">
        <v>3226</v>
      </c>
      <c r="L966" t="s">
        <v>56</v>
      </c>
      <c r="M966" t="s">
        <v>21</v>
      </c>
      <c r="N966">
        <v>5</v>
      </c>
      <c r="O966" t="s">
        <v>22</v>
      </c>
      <c r="P966">
        <v>1983.37</v>
      </c>
      <c r="Q966" t="s">
        <v>23</v>
      </c>
      <c r="R966" t="s">
        <v>24</v>
      </c>
      <c r="S966">
        <v>400001</v>
      </c>
      <c r="T966" t="s">
        <v>25</v>
      </c>
      <c r="U966" t="s">
        <v>44</v>
      </c>
    </row>
    <row r="967" spans="1:21" x14ac:dyDescent="0.3">
      <c r="A967">
        <v>966</v>
      </c>
      <c r="B967" t="s">
        <v>3227</v>
      </c>
      <c r="C967" t="s">
        <v>3228</v>
      </c>
      <c r="D967" t="s">
        <v>15</v>
      </c>
      <c r="E967">
        <v>58</v>
      </c>
      <c r="F967" t="str">
        <f t="shared" si="30"/>
        <v>Senior</v>
      </c>
      <c r="G967" t="s">
        <v>1990</v>
      </c>
      <c r="H967" t="str">
        <f t="shared" si="31"/>
        <v>Jul</v>
      </c>
      <c r="I967" t="s">
        <v>70</v>
      </c>
      <c r="J967" t="s">
        <v>31</v>
      </c>
      <c r="K967" t="s">
        <v>3229</v>
      </c>
      <c r="L967" t="s">
        <v>56</v>
      </c>
      <c r="M967" t="s">
        <v>85</v>
      </c>
      <c r="N967">
        <v>1</v>
      </c>
      <c r="O967" t="s">
        <v>22</v>
      </c>
      <c r="P967">
        <v>4236.82</v>
      </c>
      <c r="Q967" t="s">
        <v>42</v>
      </c>
      <c r="R967" t="s">
        <v>43</v>
      </c>
      <c r="S967">
        <v>302001</v>
      </c>
      <c r="T967" t="s">
        <v>25</v>
      </c>
      <c r="U967" t="s">
        <v>26</v>
      </c>
    </row>
    <row r="968" spans="1:21" x14ac:dyDescent="0.3">
      <c r="A968">
        <v>967</v>
      </c>
      <c r="B968" t="s">
        <v>3230</v>
      </c>
      <c r="C968" t="s">
        <v>2074</v>
      </c>
      <c r="D968" t="s">
        <v>15</v>
      </c>
      <c r="E968">
        <v>52</v>
      </c>
      <c r="F968" t="str">
        <f t="shared" si="30"/>
        <v>Senior</v>
      </c>
      <c r="G968" t="s">
        <v>96</v>
      </c>
      <c r="H968" t="str">
        <f t="shared" si="31"/>
        <v>Jun</v>
      </c>
      <c r="I968" t="s">
        <v>48</v>
      </c>
      <c r="J968" t="s">
        <v>31</v>
      </c>
      <c r="K968" t="s">
        <v>3231</v>
      </c>
      <c r="L968" t="s">
        <v>62</v>
      </c>
      <c r="M968" t="s">
        <v>50</v>
      </c>
      <c r="N968">
        <v>3</v>
      </c>
      <c r="O968" t="s">
        <v>22</v>
      </c>
      <c r="P968">
        <v>2164.85</v>
      </c>
      <c r="Q968" t="s">
        <v>42</v>
      </c>
      <c r="R968" t="s">
        <v>43</v>
      </c>
      <c r="S968">
        <v>302001</v>
      </c>
      <c r="T968" t="s">
        <v>25</v>
      </c>
      <c r="U968" t="s">
        <v>44</v>
      </c>
    </row>
    <row r="969" spans="1:21" x14ac:dyDescent="0.3">
      <c r="A969">
        <v>968</v>
      </c>
      <c r="B969" t="s">
        <v>3232</v>
      </c>
      <c r="C969" t="s">
        <v>3233</v>
      </c>
      <c r="D969" t="s">
        <v>15</v>
      </c>
      <c r="E969">
        <v>19</v>
      </c>
      <c r="F969" t="str">
        <f t="shared" si="30"/>
        <v>Teenager</v>
      </c>
      <c r="G969" t="s">
        <v>246</v>
      </c>
      <c r="H969" t="str">
        <f t="shared" si="31"/>
        <v>Nov</v>
      </c>
      <c r="I969" t="s">
        <v>17</v>
      </c>
      <c r="J969" t="s">
        <v>31</v>
      </c>
      <c r="K969" t="s">
        <v>3234</v>
      </c>
      <c r="L969" t="s">
        <v>107</v>
      </c>
      <c r="M969" t="s">
        <v>21</v>
      </c>
      <c r="N969">
        <v>5</v>
      </c>
      <c r="O969" t="s">
        <v>22</v>
      </c>
      <c r="P969">
        <v>4266.1000000000004</v>
      </c>
      <c r="Q969" t="s">
        <v>23</v>
      </c>
      <c r="R969" t="s">
        <v>24</v>
      </c>
      <c r="S969">
        <v>400001</v>
      </c>
      <c r="T969" t="s">
        <v>25</v>
      </c>
      <c r="U969" t="s">
        <v>44</v>
      </c>
    </row>
    <row r="970" spans="1:21" x14ac:dyDescent="0.3">
      <c r="A970">
        <v>969</v>
      </c>
      <c r="B970" t="s">
        <v>3235</v>
      </c>
      <c r="C970" t="s">
        <v>198</v>
      </c>
      <c r="D970" t="s">
        <v>15</v>
      </c>
      <c r="E970">
        <v>20</v>
      </c>
      <c r="F970" t="str">
        <f t="shared" si="30"/>
        <v>Teenager</v>
      </c>
      <c r="G970" t="s">
        <v>438</v>
      </c>
      <c r="H970" t="str">
        <f t="shared" si="31"/>
        <v>Sep</v>
      </c>
      <c r="I970" t="s">
        <v>70</v>
      </c>
      <c r="J970" t="s">
        <v>31</v>
      </c>
      <c r="K970" t="s">
        <v>3236</v>
      </c>
      <c r="L970" t="s">
        <v>107</v>
      </c>
      <c r="M970" t="s">
        <v>85</v>
      </c>
      <c r="N970">
        <v>5</v>
      </c>
      <c r="O970" t="s">
        <v>22</v>
      </c>
      <c r="P970">
        <v>3226.91</v>
      </c>
      <c r="Q970" t="s">
        <v>42</v>
      </c>
      <c r="R970" t="s">
        <v>43</v>
      </c>
      <c r="S970">
        <v>302001</v>
      </c>
      <c r="T970" t="s">
        <v>25</v>
      </c>
      <c r="U970" t="s">
        <v>44</v>
      </c>
    </row>
    <row r="971" spans="1:21" x14ac:dyDescent="0.3">
      <c r="A971">
        <v>970</v>
      </c>
      <c r="B971" t="s">
        <v>3237</v>
      </c>
      <c r="C971" t="s">
        <v>3238</v>
      </c>
      <c r="D971" t="s">
        <v>15</v>
      </c>
      <c r="E971">
        <v>29</v>
      </c>
      <c r="F971" t="str">
        <f t="shared" si="30"/>
        <v>Teenager</v>
      </c>
      <c r="G971" t="s">
        <v>1629</v>
      </c>
      <c r="H971" t="str">
        <f t="shared" si="31"/>
        <v>Sep</v>
      </c>
      <c r="I971" t="s">
        <v>48</v>
      </c>
      <c r="J971" t="s">
        <v>31</v>
      </c>
      <c r="K971" t="s">
        <v>3239</v>
      </c>
      <c r="L971" t="s">
        <v>62</v>
      </c>
      <c r="M971" t="s">
        <v>50</v>
      </c>
      <c r="N971">
        <v>4</v>
      </c>
      <c r="O971" t="s">
        <v>22</v>
      </c>
      <c r="P971">
        <v>3817.87</v>
      </c>
      <c r="Q971" t="s">
        <v>42</v>
      </c>
      <c r="R971" t="s">
        <v>43</v>
      </c>
      <c r="S971">
        <v>302001</v>
      </c>
      <c r="T971" t="s">
        <v>25</v>
      </c>
      <c r="U971" t="s">
        <v>26</v>
      </c>
    </row>
    <row r="972" spans="1:21" x14ac:dyDescent="0.3">
      <c r="A972">
        <v>971</v>
      </c>
      <c r="B972" t="s">
        <v>3240</v>
      </c>
      <c r="C972" t="s">
        <v>3241</v>
      </c>
      <c r="D972" t="s">
        <v>15</v>
      </c>
      <c r="E972">
        <v>41</v>
      </c>
      <c r="F972" t="str">
        <f t="shared" si="30"/>
        <v>Adult</v>
      </c>
      <c r="G972" t="s">
        <v>931</v>
      </c>
      <c r="H972" t="str">
        <f t="shared" si="31"/>
        <v>Jan</v>
      </c>
      <c r="I972" t="s">
        <v>60</v>
      </c>
      <c r="J972" t="s">
        <v>31</v>
      </c>
      <c r="K972" t="s">
        <v>3242</v>
      </c>
      <c r="L972" t="s">
        <v>73</v>
      </c>
      <c r="M972" t="s">
        <v>50</v>
      </c>
      <c r="N972">
        <v>4</v>
      </c>
      <c r="O972" t="s">
        <v>22</v>
      </c>
      <c r="P972">
        <v>4279.03</v>
      </c>
      <c r="Q972" t="s">
        <v>42</v>
      </c>
      <c r="R972" t="s">
        <v>43</v>
      </c>
      <c r="S972">
        <v>302001</v>
      </c>
      <c r="T972" t="s">
        <v>25</v>
      </c>
      <c r="U972" t="s">
        <v>26</v>
      </c>
    </row>
    <row r="973" spans="1:21" x14ac:dyDescent="0.3">
      <c r="A973">
        <v>972</v>
      </c>
      <c r="B973" t="s">
        <v>3243</v>
      </c>
      <c r="C973" t="s">
        <v>3244</v>
      </c>
      <c r="D973" t="s">
        <v>15</v>
      </c>
      <c r="E973">
        <v>22</v>
      </c>
      <c r="F973" t="str">
        <f t="shared" si="30"/>
        <v>Teenager</v>
      </c>
      <c r="G973" t="s">
        <v>607</v>
      </c>
      <c r="H973" t="str">
        <f t="shared" si="31"/>
        <v>Jan</v>
      </c>
      <c r="I973" t="s">
        <v>60</v>
      </c>
      <c r="J973" t="s">
        <v>31</v>
      </c>
      <c r="K973" t="s">
        <v>3245</v>
      </c>
      <c r="L973" t="s">
        <v>107</v>
      </c>
      <c r="M973" t="s">
        <v>34</v>
      </c>
      <c r="N973">
        <v>4</v>
      </c>
      <c r="O973" t="s">
        <v>22</v>
      </c>
      <c r="P973">
        <v>424.2</v>
      </c>
      <c r="Q973" t="s">
        <v>51</v>
      </c>
      <c r="R973" t="s">
        <v>51</v>
      </c>
      <c r="S973">
        <v>110001</v>
      </c>
      <c r="T973" t="s">
        <v>25</v>
      </c>
      <c r="U973" t="s">
        <v>26</v>
      </c>
    </row>
    <row r="974" spans="1:21" x14ac:dyDescent="0.3">
      <c r="A974">
        <v>973</v>
      </c>
      <c r="B974" t="s">
        <v>3246</v>
      </c>
      <c r="C974" t="s">
        <v>3247</v>
      </c>
      <c r="D974" t="s">
        <v>15</v>
      </c>
      <c r="E974">
        <v>47</v>
      </c>
      <c r="F974" t="str">
        <f t="shared" si="30"/>
        <v>Adult</v>
      </c>
      <c r="G974" t="s">
        <v>183</v>
      </c>
      <c r="H974" t="str">
        <f t="shared" si="31"/>
        <v>Jul</v>
      </c>
      <c r="I974" t="s">
        <v>60</v>
      </c>
      <c r="J974" t="s">
        <v>31</v>
      </c>
      <c r="K974" t="s">
        <v>3248</v>
      </c>
      <c r="L974" t="s">
        <v>33</v>
      </c>
      <c r="M974" t="s">
        <v>21</v>
      </c>
      <c r="N974">
        <v>4</v>
      </c>
      <c r="O974" t="s">
        <v>22</v>
      </c>
      <c r="P974">
        <v>1319.93</v>
      </c>
      <c r="Q974" t="s">
        <v>23</v>
      </c>
      <c r="R974" t="s">
        <v>24</v>
      </c>
      <c r="S974">
        <v>400001</v>
      </c>
      <c r="T974" t="s">
        <v>25</v>
      </c>
      <c r="U974" t="s">
        <v>26</v>
      </c>
    </row>
    <row r="975" spans="1:21" x14ac:dyDescent="0.3">
      <c r="A975">
        <v>974</v>
      </c>
      <c r="B975" t="s">
        <v>3249</v>
      </c>
      <c r="C975" t="s">
        <v>3250</v>
      </c>
      <c r="D975" t="s">
        <v>15</v>
      </c>
      <c r="E975">
        <v>44</v>
      </c>
      <c r="F975" t="str">
        <f t="shared" si="30"/>
        <v>Adult</v>
      </c>
      <c r="G975" t="s">
        <v>159</v>
      </c>
      <c r="H975" t="str">
        <f t="shared" si="31"/>
        <v>Aug</v>
      </c>
      <c r="I975" t="s">
        <v>70</v>
      </c>
      <c r="J975" t="s">
        <v>79</v>
      </c>
      <c r="K975" t="s">
        <v>3251</v>
      </c>
      <c r="L975" t="s">
        <v>20</v>
      </c>
      <c r="M975" t="s">
        <v>34</v>
      </c>
      <c r="N975">
        <v>1</v>
      </c>
      <c r="O975" t="s">
        <v>22</v>
      </c>
      <c r="P975">
        <v>2941.16</v>
      </c>
      <c r="Q975" t="s">
        <v>74</v>
      </c>
      <c r="R975" t="s">
        <v>75</v>
      </c>
      <c r="S975">
        <v>226001</v>
      </c>
      <c r="T975" t="s">
        <v>25</v>
      </c>
      <c r="U975" t="s">
        <v>26</v>
      </c>
    </row>
    <row r="976" spans="1:21" x14ac:dyDescent="0.3">
      <c r="A976">
        <v>975</v>
      </c>
      <c r="B976" t="s">
        <v>3252</v>
      </c>
      <c r="C976" t="s">
        <v>3253</v>
      </c>
      <c r="D976" t="s">
        <v>15</v>
      </c>
      <c r="E976">
        <v>50</v>
      </c>
      <c r="F976" t="str">
        <f t="shared" si="30"/>
        <v>Senior</v>
      </c>
      <c r="G976" t="s">
        <v>520</v>
      </c>
      <c r="H976" t="str">
        <f t="shared" si="31"/>
        <v>Sep</v>
      </c>
      <c r="I976" t="s">
        <v>60</v>
      </c>
      <c r="J976" t="s">
        <v>79</v>
      </c>
      <c r="K976" t="s">
        <v>3254</v>
      </c>
      <c r="L976" t="s">
        <v>73</v>
      </c>
      <c r="M976" t="s">
        <v>85</v>
      </c>
      <c r="N976">
        <v>5</v>
      </c>
      <c r="O976" t="s">
        <v>22</v>
      </c>
      <c r="P976">
        <v>3784.16</v>
      </c>
      <c r="Q976" t="s">
        <v>42</v>
      </c>
      <c r="R976" t="s">
        <v>43</v>
      </c>
      <c r="S976">
        <v>302001</v>
      </c>
      <c r="T976" t="s">
        <v>25</v>
      </c>
      <c r="U976" t="s">
        <v>44</v>
      </c>
    </row>
    <row r="977" spans="1:21" x14ac:dyDescent="0.3">
      <c r="A977">
        <v>976</v>
      </c>
      <c r="B977" t="s">
        <v>3255</v>
      </c>
      <c r="C977" t="s">
        <v>2210</v>
      </c>
      <c r="D977" t="s">
        <v>15</v>
      </c>
      <c r="E977">
        <v>51</v>
      </c>
      <c r="F977" t="str">
        <f t="shared" si="30"/>
        <v>Senior</v>
      </c>
      <c r="G977" t="s">
        <v>473</v>
      </c>
      <c r="H977" t="str">
        <f t="shared" si="31"/>
        <v>Jun</v>
      </c>
      <c r="I977" t="s">
        <v>70</v>
      </c>
      <c r="J977" t="s">
        <v>79</v>
      </c>
      <c r="K977" t="s">
        <v>3256</v>
      </c>
      <c r="L977" t="s">
        <v>33</v>
      </c>
      <c r="M977" t="s">
        <v>50</v>
      </c>
      <c r="N977">
        <v>3</v>
      </c>
      <c r="O977" t="s">
        <v>22</v>
      </c>
      <c r="P977">
        <v>2779.9</v>
      </c>
      <c r="Q977" t="s">
        <v>42</v>
      </c>
      <c r="R977" t="s">
        <v>43</v>
      </c>
      <c r="S977">
        <v>302001</v>
      </c>
      <c r="T977" t="s">
        <v>25</v>
      </c>
      <c r="U977" t="s">
        <v>44</v>
      </c>
    </row>
    <row r="978" spans="1:21" x14ac:dyDescent="0.3">
      <c r="A978">
        <v>977</v>
      </c>
      <c r="B978" t="s">
        <v>3257</v>
      </c>
      <c r="C978" t="s">
        <v>3258</v>
      </c>
      <c r="D978" t="s">
        <v>15</v>
      </c>
      <c r="E978">
        <v>53</v>
      </c>
      <c r="F978" t="str">
        <f t="shared" si="30"/>
        <v>Senior</v>
      </c>
      <c r="G978" t="s">
        <v>587</v>
      </c>
      <c r="H978" t="str">
        <f t="shared" si="31"/>
        <v>Apr</v>
      </c>
      <c r="I978" t="s">
        <v>60</v>
      </c>
      <c r="J978" t="s">
        <v>79</v>
      </c>
      <c r="K978" t="s">
        <v>3259</v>
      </c>
      <c r="L978" t="s">
        <v>33</v>
      </c>
      <c r="M978" t="s">
        <v>34</v>
      </c>
      <c r="N978">
        <v>5</v>
      </c>
      <c r="O978" t="s">
        <v>22</v>
      </c>
      <c r="P978">
        <v>3989.57</v>
      </c>
      <c r="Q978" t="s">
        <v>51</v>
      </c>
      <c r="R978" t="s">
        <v>51</v>
      </c>
      <c r="S978">
        <v>110001</v>
      </c>
      <c r="T978" t="s">
        <v>25</v>
      </c>
      <c r="U978" t="s">
        <v>26</v>
      </c>
    </row>
    <row r="979" spans="1:21" x14ac:dyDescent="0.3">
      <c r="A979">
        <v>978</v>
      </c>
      <c r="B979" t="s">
        <v>3260</v>
      </c>
      <c r="C979" t="s">
        <v>3261</v>
      </c>
      <c r="D979" t="s">
        <v>15</v>
      </c>
      <c r="E979">
        <v>53</v>
      </c>
      <c r="F979" t="str">
        <f t="shared" si="30"/>
        <v>Senior</v>
      </c>
      <c r="G979" t="s">
        <v>539</v>
      </c>
      <c r="H979" t="str">
        <f t="shared" si="31"/>
        <v>May</v>
      </c>
      <c r="I979" t="s">
        <v>70</v>
      </c>
      <c r="J979" t="s">
        <v>79</v>
      </c>
      <c r="K979" t="s">
        <v>3262</v>
      </c>
      <c r="L979" t="s">
        <v>107</v>
      </c>
      <c r="M979" t="s">
        <v>34</v>
      </c>
      <c r="N979">
        <v>3</v>
      </c>
      <c r="O979" t="s">
        <v>22</v>
      </c>
      <c r="P979">
        <v>2712.13</v>
      </c>
      <c r="Q979" t="s">
        <v>23</v>
      </c>
      <c r="R979" t="s">
        <v>24</v>
      </c>
      <c r="S979">
        <v>400001</v>
      </c>
      <c r="T979" t="s">
        <v>25</v>
      </c>
      <c r="U979" t="s">
        <v>44</v>
      </c>
    </row>
    <row r="980" spans="1:21" x14ac:dyDescent="0.3">
      <c r="A980">
        <v>979</v>
      </c>
      <c r="B980" t="s">
        <v>3263</v>
      </c>
      <c r="C980" t="s">
        <v>3264</v>
      </c>
      <c r="D980" t="s">
        <v>15</v>
      </c>
      <c r="E980">
        <v>48</v>
      </c>
      <c r="F980" t="str">
        <f t="shared" si="30"/>
        <v>Adult</v>
      </c>
      <c r="G980" t="s">
        <v>1677</v>
      </c>
      <c r="H980" t="str">
        <f t="shared" si="31"/>
        <v>Jul</v>
      </c>
      <c r="I980" t="s">
        <v>60</v>
      </c>
      <c r="J980" t="s">
        <v>79</v>
      </c>
      <c r="K980" t="s">
        <v>3265</v>
      </c>
      <c r="L980" t="s">
        <v>20</v>
      </c>
      <c r="M980" t="s">
        <v>85</v>
      </c>
      <c r="N980">
        <v>2</v>
      </c>
      <c r="O980" t="s">
        <v>22</v>
      </c>
      <c r="P980">
        <v>861.05</v>
      </c>
      <c r="Q980" t="s">
        <v>42</v>
      </c>
      <c r="R980" t="s">
        <v>43</v>
      </c>
      <c r="S980">
        <v>302001</v>
      </c>
      <c r="T980" t="s">
        <v>25</v>
      </c>
      <c r="U980" t="s">
        <v>26</v>
      </c>
    </row>
    <row r="981" spans="1:21" x14ac:dyDescent="0.3">
      <c r="A981">
        <v>980</v>
      </c>
      <c r="B981" t="s">
        <v>3266</v>
      </c>
      <c r="C981" t="s">
        <v>3267</v>
      </c>
      <c r="D981" t="s">
        <v>15</v>
      </c>
      <c r="E981">
        <v>20</v>
      </c>
      <c r="F981" t="str">
        <f t="shared" si="30"/>
        <v>Teenager</v>
      </c>
      <c r="G981" t="s">
        <v>139</v>
      </c>
      <c r="H981" t="str">
        <f t="shared" si="31"/>
        <v>Feb</v>
      </c>
      <c r="I981" t="s">
        <v>70</v>
      </c>
      <c r="J981" t="s">
        <v>79</v>
      </c>
      <c r="K981" t="s">
        <v>3268</v>
      </c>
      <c r="L981" t="s">
        <v>33</v>
      </c>
      <c r="M981" t="s">
        <v>34</v>
      </c>
      <c r="N981">
        <v>2</v>
      </c>
      <c r="O981" t="s">
        <v>22</v>
      </c>
      <c r="P981">
        <v>3555.09</v>
      </c>
      <c r="Q981" t="s">
        <v>42</v>
      </c>
      <c r="R981" t="s">
        <v>43</v>
      </c>
      <c r="S981">
        <v>302001</v>
      </c>
      <c r="T981" t="s">
        <v>25</v>
      </c>
      <c r="U981" t="s">
        <v>26</v>
      </c>
    </row>
    <row r="982" spans="1:21" x14ac:dyDescent="0.3">
      <c r="A982">
        <v>981</v>
      </c>
      <c r="B982" t="s">
        <v>3269</v>
      </c>
      <c r="C982" t="s">
        <v>3270</v>
      </c>
      <c r="D982" t="s">
        <v>15</v>
      </c>
      <c r="E982">
        <v>50</v>
      </c>
      <c r="F982" t="str">
        <f t="shared" si="30"/>
        <v>Senior</v>
      </c>
      <c r="G982" t="s">
        <v>653</v>
      </c>
      <c r="H982" t="str">
        <f t="shared" si="31"/>
        <v>Nov</v>
      </c>
      <c r="I982" t="s">
        <v>60</v>
      </c>
      <c r="J982" t="s">
        <v>79</v>
      </c>
      <c r="K982" t="s">
        <v>3271</v>
      </c>
      <c r="L982" t="s">
        <v>33</v>
      </c>
      <c r="M982" t="s">
        <v>85</v>
      </c>
      <c r="N982">
        <v>1</v>
      </c>
      <c r="O982" t="s">
        <v>22</v>
      </c>
      <c r="P982">
        <v>3859.92</v>
      </c>
      <c r="Q982" t="s">
        <v>23</v>
      </c>
      <c r="R982" t="s">
        <v>24</v>
      </c>
      <c r="S982">
        <v>400001</v>
      </c>
      <c r="T982" t="s">
        <v>25</v>
      </c>
      <c r="U982" t="s">
        <v>26</v>
      </c>
    </row>
    <row r="983" spans="1:21" x14ac:dyDescent="0.3">
      <c r="A983">
        <v>982</v>
      </c>
      <c r="B983" t="s">
        <v>3272</v>
      </c>
      <c r="C983" t="s">
        <v>3273</v>
      </c>
      <c r="D983" t="s">
        <v>15</v>
      </c>
      <c r="E983">
        <v>29</v>
      </c>
      <c r="F983" t="str">
        <f t="shared" si="30"/>
        <v>Teenager</v>
      </c>
      <c r="G983" t="s">
        <v>1565</v>
      </c>
      <c r="H983" t="str">
        <f t="shared" si="31"/>
        <v>May</v>
      </c>
      <c r="I983" t="s">
        <v>48</v>
      </c>
      <c r="J983" t="s">
        <v>79</v>
      </c>
      <c r="K983" t="s">
        <v>3274</v>
      </c>
      <c r="L983" t="s">
        <v>56</v>
      </c>
      <c r="M983" t="s">
        <v>21</v>
      </c>
      <c r="N983">
        <v>4</v>
      </c>
      <c r="O983" t="s">
        <v>22</v>
      </c>
      <c r="P983">
        <v>741.05</v>
      </c>
      <c r="Q983" t="s">
        <v>35</v>
      </c>
      <c r="R983" t="s">
        <v>36</v>
      </c>
      <c r="S983">
        <v>560001</v>
      </c>
      <c r="T983" t="s">
        <v>25</v>
      </c>
      <c r="U983" t="s">
        <v>26</v>
      </c>
    </row>
    <row r="984" spans="1:21" x14ac:dyDescent="0.3">
      <c r="A984">
        <v>983</v>
      </c>
      <c r="B984" t="s">
        <v>3275</v>
      </c>
      <c r="C984" t="s">
        <v>3276</v>
      </c>
      <c r="D984" t="s">
        <v>15</v>
      </c>
      <c r="E984">
        <v>49</v>
      </c>
      <c r="F984" t="str">
        <f t="shared" si="30"/>
        <v>Adult</v>
      </c>
      <c r="G984" t="s">
        <v>684</v>
      </c>
      <c r="H984" t="str">
        <f t="shared" si="31"/>
        <v>Oct</v>
      </c>
      <c r="I984" t="s">
        <v>70</v>
      </c>
      <c r="J984" t="s">
        <v>79</v>
      </c>
      <c r="K984" t="s">
        <v>3277</v>
      </c>
      <c r="L984" t="s">
        <v>56</v>
      </c>
      <c r="M984" t="s">
        <v>85</v>
      </c>
      <c r="N984">
        <v>1</v>
      </c>
      <c r="O984" t="s">
        <v>22</v>
      </c>
      <c r="P984">
        <v>417.55</v>
      </c>
      <c r="Q984" t="s">
        <v>51</v>
      </c>
      <c r="R984" t="s">
        <v>51</v>
      </c>
      <c r="S984">
        <v>110001</v>
      </c>
      <c r="T984" t="s">
        <v>25</v>
      </c>
      <c r="U984" t="s">
        <v>44</v>
      </c>
    </row>
    <row r="985" spans="1:21" x14ac:dyDescent="0.3">
      <c r="A985">
        <v>984</v>
      </c>
      <c r="B985" t="s">
        <v>3278</v>
      </c>
      <c r="C985" t="s">
        <v>3279</v>
      </c>
      <c r="D985" t="s">
        <v>15</v>
      </c>
      <c r="E985">
        <v>56</v>
      </c>
      <c r="F985" t="str">
        <f t="shared" si="30"/>
        <v>Senior</v>
      </c>
      <c r="G985" t="s">
        <v>1000</v>
      </c>
      <c r="H985" t="str">
        <f t="shared" si="31"/>
        <v>Dec</v>
      </c>
      <c r="I985" t="s">
        <v>70</v>
      </c>
      <c r="J985" t="s">
        <v>101</v>
      </c>
      <c r="K985" t="s">
        <v>3280</v>
      </c>
      <c r="L985" t="s">
        <v>33</v>
      </c>
      <c r="M985" t="s">
        <v>50</v>
      </c>
      <c r="N985">
        <v>4</v>
      </c>
      <c r="O985" t="s">
        <v>22</v>
      </c>
      <c r="P985">
        <v>3744.14</v>
      </c>
      <c r="Q985" t="s">
        <v>42</v>
      </c>
      <c r="R985" t="s">
        <v>43</v>
      </c>
      <c r="S985">
        <v>302001</v>
      </c>
      <c r="T985" t="s">
        <v>25</v>
      </c>
      <c r="U985" t="s">
        <v>26</v>
      </c>
    </row>
    <row r="986" spans="1:21" x14ac:dyDescent="0.3">
      <c r="A986">
        <v>985</v>
      </c>
      <c r="B986" t="s">
        <v>3281</v>
      </c>
      <c r="C986" t="s">
        <v>3282</v>
      </c>
      <c r="D986" t="s">
        <v>15</v>
      </c>
      <c r="E986">
        <v>49</v>
      </c>
      <c r="F986" t="str">
        <f t="shared" si="30"/>
        <v>Adult</v>
      </c>
      <c r="G986" t="s">
        <v>757</v>
      </c>
      <c r="H986" t="str">
        <f t="shared" si="31"/>
        <v>Dec</v>
      </c>
      <c r="I986" t="s">
        <v>17</v>
      </c>
      <c r="J986" t="s">
        <v>101</v>
      </c>
      <c r="K986" t="s">
        <v>843</v>
      </c>
      <c r="L986" t="s">
        <v>62</v>
      </c>
      <c r="M986" t="s">
        <v>21</v>
      </c>
      <c r="N986">
        <v>1</v>
      </c>
      <c r="O986" t="s">
        <v>22</v>
      </c>
      <c r="P986">
        <v>1880.22</v>
      </c>
      <c r="Q986" t="s">
        <v>35</v>
      </c>
      <c r="R986" t="s">
        <v>36</v>
      </c>
      <c r="S986">
        <v>560001</v>
      </c>
      <c r="T986" t="s">
        <v>25</v>
      </c>
      <c r="U986" t="s">
        <v>26</v>
      </c>
    </row>
    <row r="987" spans="1:21" x14ac:dyDescent="0.3">
      <c r="A987">
        <v>986</v>
      </c>
      <c r="B987" t="s">
        <v>3283</v>
      </c>
      <c r="C987" t="s">
        <v>3284</v>
      </c>
      <c r="D987" t="s">
        <v>15</v>
      </c>
      <c r="E987">
        <v>21</v>
      </c>
      <c r="F987" t="str">
        <f t="shared" si="30"/>
        <v>Teenager</v>
      </c>
      <c r="G987" t="s">
        <v>878</v>
      </c>
      <c r="H987" t="str">
        <f t="shared" si="31"/>
        <v>Feb</v>
      </c>
      <c r="I987" t="s">
        <v>60</v>
      </c>
      <c r="J987" t="s">
        <v>101</v>
      </c>
      <c r="K987" t="s">
        <v>3285</v>
      </c>
      <c r="L987" t="s">
        <v>107</v>
      </c>
      <c r="M987" t="s">
        <v>21</v>
      </c>
      <c r="N987">
        <v>1</v>
      </c>
      <c r="O987" t="s">
        <v>22</v>
      </c>
      <c r="P987">
        <v>3594.32</v>
      </c>
      <c r="Q987" t="s">
        <v>42</v>
      </c>
      <c r="R987" t="s">
        <v>43</v>
      </c>
      <c r="S987">
        <v>302001</v>
      </c>
      <c r="T987" t="s">
        <v>25</v>
      </c>
      <c r="U987" t="s">
        <v>44</v>
      </c>
    </row>
    <row r="988" spans="1:21" x14ac:dyDescent="0.3">
      <c r="A988">
        <v>987</v>
      </c>
      <c r="B988" t="s">
        <v>3286</v>
      </c>
      <c r="C988" t="s">
        <v>3287</v>
      </c>
      <c r="D988" t="s">
        <v>15</v>
      </c>
      <c r="E988">
        <v>42</v>
      </c>
      <c r="F988" t="str">
        <f t="shared" si="30"/>
        <v>Adult</v>
      </c>
      <c r="G988" t="s">
        <v>1070</v>
      </c>
      <c r="H988" t="str">
        <f t="shared" si="31"/>
        <v>Jan</v>
      </c>
      <c r="I988" t="s">
        <v>70</v>
      </c>
      <c r="J988" t="s">
        <v>101</v>
      </c>
      <c r="K988" t="s">
        <v>3288</v>
      </c>
      <c r="L988" t="s">
        <v>20</v>
      </c>
      <c r="M988" t="s">
        <v>85</v>
      </c>
      <c r="N988">
        <v>5</v>
      </c>
      <c r="O988" t="s">
        <v>22</v>
      </c>
      <c r="P988">
        <v>4536.82</v>
      </c>
      <c r="Q988" t="s">
        <v>74</v>
      </c>
      <c r="R988" t="s">
        <v>75</v>
      </c>
      <c r="S988">
        <v>226001</v>
      </c>
      <c r="T988" t="s">
        <v>25</v>
      </c>
      <c r="U988" t="s">
        <v>44</v>
      </c>
    </row>
    <row r="989" spans="1:21" x14ac:dyDescent="0.3">
      <c r="A989">
        <v>988</v>
      </c>
      <c r="B989" t="s">
        <v>3289</v>
      </c>
      <c r="C989" t="s">
        <v>1505</v>
      </c>
      <c r="D989" t="s">
        <v>15</v>
      </c>
      <c r="E989">
        <v>38</v>
      </c>
      <c r="F989" t="str">
        <f t="shared" si="30"/>
        <v>Adult</v>
      </c>
      <c r="G989" t="s">
        <v>3290</v>
      </c>
      <c r="H989" t="str">
        <f t="shared" si="31"/>
        <v>Sep</v>
      </c>
      <c r="I989" t="s">
        <v>17</v>
      </c>
      <c r="J989" t="s">
        <v>101</v>
      </c>
      <c r="K989" t="s">
        <v>3291</v>
      </c>
      <c r="L989" t="s">
        <v>107</v>
      </c>
      <c r="M989" t="s">
        <v>34</v>
      </c>
      <c r="N989">
        <v>5</v>
      </c>
      <c r="O989" t="s">
        <v>22</v>
      </c>
      <c r="P989">
        <v>959.14</v>
      </c>
      <c r="Q989" t="s">
        <v>35</v>
      </c>
      <c r="R989" t="s">
        <v>36</v>
      </c>
      <c r="S989">
        <v>560001</v>
      </c>
      <c r="T989" t="s">
        <v>25</v>
      </c>
      <c r="U989" t="s">
        <v>26</v>
      </c>
    </row>
    <row r="990" spans="1:21" x14ac:dyDescent="0.3">
      <c r="A990">
        <v>989</v>
      </c>
      <c r="B990" t="s">
        <v>3292</v>
      </c>
      <c r="C990" t="s">
        <v>3293</v>
      </c>
      <c r="D990" t="s">
        <v>29</v>
      </c>
      <c r="E990">
        <v>47</v>
      </c>
      <c r="F990" t="str">
        <f t="shared" si="30"/>
        <v>Adult</v>
      </c>
      <c r="G990" t="s">
        <v>118</v>
      </c>
      <c r="H990" t="str">
        <f t="shared" si="31"/>
        <v>Oct</v>
      </c>
      <c r="I990" t="s">
        <v>48</v>
      </c>
      <c r="J990" t="s">
        <v>101</v>
      </c>
      <c r="K990" t="s">
        <v>3294</v>
      </c>
      <c r="L990" t="s">
        <v>107</v>
      </c>
      <c r="M990" t="s">
        <v>34</v>
      </c>
      <c r="N990">
        <v>2</v>
      </c>
      <c r="O990" t="s">
        <v>22</v>
      </c>
      <c r="P990">
        <v>331.22</v>
      </c>
      <c r="Q990" t="s">
        <v>23</v>
      </c>
      <c r="R990" t="s">
        <v>24</v>
      </c>
      <c r="S990">
        <v>400001</v>
      </c>
      <c r="T990" t="s">
        <v>25</v>
      </c>
      <c r="U990" t="s">
        <v>26</v>
      </c>
    </row>
    <row r="991" spans="1:21" x14ac:dyDescent="0.3">
      <c r="A991">
        <v>990</v>
      </c>
      <c r="B991" t="s">
        <v>3295</v>
      </c>
      <c r="C991" t="s">
        <v>3296</v>
      </c>
      <c r="D991" t="s">
        <v>15</v>
      </c>
      <c r="E991">
        <v>46</v>
      </c>
      <c r="F991" t="str">
        <f t="shared" si="30"/>
        <v>Adult</v>
      </c>
      <c r="G991" t="s">
        <v>1535</v>
      </c>
      <c r="H991" t="str">
        <f t="shared" si="31"/>
        <v>Aug</v>
      </c>
      <c r="I991" t="s">
        <v>48</v>
      </c>
      <c r="J991" t="s">
        <v>101</v>
      </c>
      <c r="K991" t="s">
        <v>3297</v>
      </c>
      <c r="L991" t="s">
        <v>107</v>
      </c>
      <c r="M991" t="s">
        <v>21</v>
      </c>
      <c r="N991">
        <v>4</v>
      </c>
      <c r="O991" t="s">
        <v>22</v>
      </c>
      <c r="P991">
        <v>1869.42</v>
      </c>
      <c r="Q991" t="s">
        <v>51</v>
      </c>
      <c r="R991" t="s">
        <v>51</v>
      </c>
      <c r="S991">
        <v>110001</v>
      </c>
      <c r="T991" t="s">
        <v>25</v>
      </c>
      <c r="U991" t="s">
        <v>44</v>
      </c>
    </row>
    <row r="992" spans="1:21" x14ac:dyDescent="0.3">
      <c r="A992">
        <v>991</v>
      </c>
      <c r="B992" t="s">
        <v>3298</v>
      </c>
      <c r="C992" t="s">
        <v>3299</v>
      </c>
      <c r="D992" t="s">
        <v>15</v>
      </c>
      <c r="E992">
        <v>28</v>
      </c>
      <c r="F992" t="str">
        <f t="shared" si="30"/>
        <v>Teenager</v>
      </c>
      <c r="G992" t="s">
        <v>2169</v>
      </c>
      <c r="H992" t="str">
        <f t="shared" si="31"/>
        <v>Sep</v>
      </c>
      <c r="I992" t="s">
        <v>70</v>
      </c>
      <c r="J992" t="s">
        <v>101</v>
      </c>
      <c r="K992" t="s">
        <v>3300</v>
      </c>
      <c r="L992" t="s">
        <v>62</v>
      </c>
      <c r="M992" t="s">
        <v>34</v>
      </c>
      <c r="N992">
        <v>5</v>
      </c>
      <c r="O992" t="s">
        <v>22</v>
      </c>
      <c r="P992">
        <v>3513.56</v>
      </c>
      <c r="Q992" t="s">
        <v>51</v>
      </c>
      <c r="R992" t="s">
        <v>51</v>
      </c>
      <c r="S992">
        <v>110001</v>
      </c>
      <c r="T992" t="s">
        <v>25</v>
      </c>
      <c r="U992" t="s">
        <v>26</v>
      </c>
    </row>
    <row r="993" spans="1:21" x14ac:dyDescent="0.3">
      <c r="A993">
        <v>992</v>
      </c>
      <c r="B993" t="s">
        <v>3301</v>
      </c>
      <c r="C993" t="s">
        <v>3302</v>
      </c>
      <c r="D993" t="s">
        <v>29</v>
      </c>
      <c r="E993">
        <v>56</v>
      </c>
      <c r="F993" t="str">
        <f t="shared" si="30"/>
        <v>Senior</v>
      </c>
      <c r="G993" t="s">
        <v>3303</v>
      </c>
      <c r="H993" t="str">
        <f t="shared" si="31"/>
        <v>May</v>
      </c>
      <c r="I993" t="s">
        <v>60</v>
      </c>
      <c r="J993" t="s">
        <v>101</v>
      </c>
      <c r="K993" t="s">
        <v>3304</v>
      </c>
      <c r="L993" t="s">
        <v>20</v>
      </c>
      <c r="M993" t="s">
        <v>34</v>
      </c>
      <c r="N993">
        <v>3</v>
      </c>
      <c r="O993" t="s">
        <v>22</v>
      </c>
      <c r="P993">
        <v>1293.96</v>
      </c>
      <c r="Q993" t="s">
        <v>23</v>
      </c>
      <c r="R993" t="s">
        <v>24</v>
      </c>
      <c r="S993">
        <v>400001</v>
      </c>
      <c r="T993" t="s">
        <v>25</v>
      </c>
      <c r="U993" t="s">
        <v>26</v>
      </c>
    </row>
    <row r="994" spans="1:21" x14ac:dyDescent="0.3">
      <c r="A994">
        <v>993</v>
      </c>
      <c r="B994" t="s">
        <v>3305</v>
      </c>
      <c r="C994" t="s">
        <v>3306</v>
      </c>
      <c r="D994" t="s">
        <v>29</v>
      </c>
      <c r="E994">
        <v>33</v>
      </c>
      <c r="F994" t="str">
        <f t="shared" si="30"/>
        <v>Adult</v>
      </c>
      <c r="G994" t="s">
        <v>1441</v>
      </c>
      <c r="H994" t="str">
        <f t="shared" si="31"/>
        <v>Dec</v>
      </c>
      <c r="I994" t="s">
        <v>17</v>
      </c>
      <c r="J994" t="s">
        <v>101</v>
      </c>
      <c r="K994" t="s">
        <v>3307</v>
      </c>
      <c r="L994" t="s">
        <v>73</v>
      </c>
      <c r="M994" t="s">
        <v>85</v>
      </c>
      <c r="N994">
        <v>4</v>
      </c>
      <c r="O994" t="s">
        <v>22</v>
      </c>
      <c r="P994">
        <v>3201.24</v>
      </c>
      <c r="Q994" t="s">
        <v>74</v>
      </c>
      <c r="R994" t="s">
        <v>75</v>
      </c>
      <c r="S994">
        <v>226001</v>
      </c>
      <c r="T994" t="s">
        <v>25</v>
      </c>
      <c r="U994" t="s">
        <v>26</v>
      </c>
    </row>
    <row r="995" spans="1:21" x14ac:dyDescent="0.3">
      <c r="A995">
        <v>994</v>
      </c>
      <c r="B995" t="s">
        <v>3308</v>
      </c>
      <c r="C995" t="s">
        <v>3309</v>
      </c>
      <c r="D995" t="s">
        <v>29</v>
      </c>
      <c r="E995">
        <v>36</v>
      </c>
      <c r="F995" t="str">
        <f t="shared" si="30"/>
        <v>Adult</v>
      </c>
      <c r="G995" t="s">
        <v>1318</v>
      </c>
      <c r="H995" t="str">
        <f t="shared" si="31"/>
        <v>Nov</v>
      </c>
      <c r="I995" t="s">
        <v>17</v>
      </c>
      <c r="J995" t="s">
        <v>101</v>
      </c>
      <c r="K995" t="s">
        <v>3310</v>
      </c>
      <c r="L995" t="s">
        <v>56</v>
      </c>
      <c r="M995" t="s">
        <v>85</v>
      </c>
      <c r="N995">
        <v>3</v>
      </c>
      <c r="O995" t="s">
        <v>22</v>
      </c>
      <c r="P995">
        <v>2852.22</v>
      </c>
      <c r="Q995" t="s">
        <v>23</v>
      </c>
      <c r="R995" t="s">
        <v>24</v>
      </c>
      <c r="S995">
        <v>400001</v>
      </c>
      <c r="T995" t="s">
        <v>25</v>
      </c>
      <c r="U995" t="s">
        <v>44</v>
      </c>
    </row>
    <row r="996" spans="1:21" x14ac:dyDescent="0.3">
      <c r="A996">
        <v>995</v>
      </c>
      <c r="B996" t="s">
        <v>3311</v>
      </c>
      <c r="C996" t="s">
        <v>3312</v>
      </c>
      <c r="D996" t="s">
        <v>15</v>
      </c>
      <c r="E996">
        <v>23</v>
      </c>
      <c r="F996" t="str">
        <f t="shared" si="30"/>
        <v>Teenager</v>
      </c>
      <c r="G996" t="s">
        <v>288</v>
      </c>
      <c r="H996" t="str">
        <f t="shared" si="31"/>
        <v>Apr</v>
      </c>
      <c r="I996" t="s">
        <v>17</v>
      </c>
      <c r="J996" t="s">
        <v>101</v>
      </c>
      <c r="K996" t="s">
        <v>3313</v>
      </c>
      <c r="L996" t="s">
        <v>62</v>
      </c>
      <c r="M996" t="s">
        <v>85</v>
      </c>
      <c r="N996">
        <v>1</v>
      </c>
      <c r="O996" t="s">
        <v>22</v>
      </c>
      <c r="P996">
        <v>3990.83</v>
      </c>
      <c r="Q996" t="s">
        <v>23</v>
      </c>
      <c r="R996" t="s">
        <v>24</v>
      </c>
      <c r="S996">
        <v>400001</v>
      </c>
      <c r="T996" t="s">
        <v>25</v>
      </c>
      <c r="U996" t="s">
        <v>44</v>
      </c>
    </row>
    <row r="997" spans="1:21" x14ac:dyDescent="0.3">
      <c r="A997">
        <v>996</v>
      </c>
      <c r="B997" t="s">
        <v>3314</v>
      </c>
      <c r="C997" t="s">
        <v>3315</v>
      </c>
      <c r="D997" t="s">
        <v>29</v>
      </c>
      <c r="E997">
        <v>31</v>
      </c>
      <c r="F997" t="str">
        <f t="shared" si="30"/>
        <v>Adult</v>
      </c>
      <c r="G997" t="s">
        <v>114</v>
      </c>
      <c r="H997" t="str">
        <f t="shared" si="31"/>
        <v>Mar</v>
      </c>
      <c r="I997" t="s">
        <v>60</v>
      </c>
      <c r="J997" t="s">
        <v>101</v>
      </c>
      <c r="K997" t="s">
        <v>3316</v>
      </c>
      <c r="L997" t="s">
        <v>73</v>
      </c>
      <c r="M997" t="s">
        <v>85</v>
      </c>
      <c r="N997">
        <v>2</v>
      </c>
      <c r="O997" t="s">
        <v>22</v>
      </c>
      <c r="P997">
        <v>681.14</v>
      </c>
      <c r="Q997" t="s">
        <v>23</v>
      </c>
      <c r="R997" t="s">
        <v>24</v>
      </c>
      <c r="S997">
        <v>400001</v>
      </c>
      <c r="T997" t="s">
        <v>25</v>
      </c>
      <c r="U997" t="s">
        <v>26</v>
      </c>
    </row>
    <row r="998" spans="1:21" x14ac:dyDescent="0.3">
      <c r="A998">
        <v>997</v>
      </c>
      <c r="B998" t="s">
        <v>3317</v>
      </c>
      <c r="C998" t="s">
        <v>3318</v>
      </c>
      <c r="D998" t="s">
        <v>29</v>
      </c>
      <c r="E998">
        <v>44</v>
      </c>
      <c r="F998" t="str">
        <f t="shared" si="30"/>
        <v>Adult</v>
      </c>
      <c r="G998" t="s">
        <v>2461</v>
      </c>
      <c r="H998" t="str">
        <f t="shared" si="31"/>
        <v>Oct</v>
      </c>
      <c r="I998" t="s">
        <v>17</v>
      </c>
      <c r="J998" t="s">
        <v>101</v>
      </c>
      <c r="K998" t="s">
        <v>3319</v>
      </c>
      <c r="L998" t="s">
        <v>62</v>
      </c>
      <c r="M998" t="s">
        <v>50</v>
      </c>
      <c r="N998">
        <v>1</v>
      </c>
      <c r="O998" t="s">
        <v>22</v>
      </c>
      <c r="P998">
        <v>2542.85</v>
      </c>
      <c r="Q998" t="s">
        <v>51</v>
      </c>
      <c r="R998" t="s">
        <v>51</v>
      </c>
      <c r="S998">
        <v>110001</v>
      </c>
      <c r="T998" t="s">
        <v>25</v>
      </c>
      <c r="U998" t="s">
        <v>26</v>
      </c>
    </row>
    <row r="999" spans="1:21" x14ac:dyDescent="0.3">
      <c r="A999">
        <v>998</v>
      </c>
      <c r="B999" t="s">
        <v>3320</v>
      </c>
      <c r="C999" t="s">
        <v>3321</v>
      </c>
      <c r="D999" t="s">
        <v>15</v>
      </c>
      <c r="E999">
        <v>31</v>
      </c>
      <c r="F999" t="str">
        <f t="shared" si="30"/>
        <v>Adult</v>
      </c>
      <c r="G999" t="s">
        <v>362</v>
      </c>
      <c r="H999" t="str">
        <f t="shared" si="31"/>
        <v>Dec</v>
      </c>
      <c r="I999" t="s">
        <v>70</v>
      </c>
      <c r="J999" t="s">
        <v>101</v>
      </c>
      <c r="K999" t="s">
        <v>3322</v>
      </c>
      <c r="L999" t="s">
        <v>20</v>
      </c>
      <c r="M999" t="s">
        <v>21</v>
      </c>
      <c r="N999">
        <v>2</v>
      </c>
      <c r="O999" t="s">
        <v>22</v>
      </c>
      <c r="P999">
        <v>1620.12</v>
      </c>
      <c r="Q999" t="s">
        <v>42</v>
      </c>
      <c r="R999" t="s">
        <v>43</v>
      </c>
      <c r="S999">
        <v>302001</v>
      </c>
      <c r="T999" t="s">
        <v>25</v>
      </c>
      <c r="U999" t="s">
        <v>26</v>
      </c>
    </row>
    <row r="1000" spans="1:21" x14ac:dyDescent="0.3">
      <c r="A1000">
        <v>999</v>
      </c>
      <c r="B1000" t="s">
        <v>3323</v>
      </c>
      <c r="C1000" t="s">
        <v>3324</v>
      </c>
      <c r="D1000" t="s">
        <v>29</v>
      </c>
      <c r="E1000">
        <v>26</v>
      </c>
      <c r="F1000" t="str">
        <f t="shared" si="30"/>
        <v>Teenager</v>
      </c>
      <c r="G1000" t="s">
        <v>2342</v>
      </c>
      <c r="H1000" t="str">
        <f t="shared" si="31"/>
        <v>Apr</v>
      </c>
      <c r="I1000" t="s">
        <v>70</v>
      </c>
      <c r="J1000" t="s">
        <v>101</v>
      </c>
      <c r="K1000" t="s">
        <v>3325</v>
      </c>
      <c r="L1000" t="s">
        <v>73</v>
      </c>
      <c r="M1000" t="s">
        <v>50</v>
      </c>
      <c r="N1000">
        <v>4</v>
      </c>
      <c r="O1000" t="s">
        <v>22</v>
      </c>
      <c r="P1000">
        <v>789.23</v>
      </c>
      <c r="Q1000" t="s">
        <v>51</v>
      </c>
      <c r="R1000" t="s">
        <v>51</v>
      </c>
      <c r="S1000">
        <v>110001</v>
      </c>
      <c r="T1000" t="s">
        <v>25</v>
      </c>
      <c r="U1000" t="s">
        <v>26</v>
      </c>
    </row>
    <row r="1001" spans="1:21" x14ac:dyDescent="0.3">
      <c r="A1001">
        <v>1000</v>
      </c>
      <c r="B1001" t="s">
        <v>3326</v>
      </c>
      <c r="C1001" t="s">
        <v>3327</v>
      </c>
      <c r="D1001" t="s">
        <v>29</v>
      </c>
      <c r="E1001">
        <v>32</v>
      </c>
      <c r="F1001" t="str">
        <f t="shared" si="30"/>
        <v>Adult</v>
      </c>
      <c r="G1001" t="s">
        <v>1843</v>
      </c>
      <c r="H1001" t="str">
        <f t="shared" si="31"/>
        <v>Aug</v>
      </c>
      <c r="I1001" t="s">
        <v>70</v>
      </c>
      <c r="J1001" t="s">
        <v>71</v>
      </c>
      <c r="K1001" t="s">
        <v>3328</v>
      </c>
      <c r="L1001" t="s">
        <v>20</v>
      </c>
      <c r="M1001" t="s">
        <v>85</v>
      </c>
      <c r="N1001">
        <v>2</v>
      </c>
      <c r="O1001" t="s">
        <v>22</v>
      </c>
      <c r="P1001">
        <v>2799.99</v>
      </c>
      <c r="Q1001" t="s">
        <v>51</v>
      </c>
      <c r="R1001" t="s">
        <v>51</v>
      </c>
      <c r="S1001">
        <v>110001</v>
      </c>
      <c r="T1001" t="s">
        <v>25</v>
      </c>
      <c r="U1001" t="s">
        <v>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6243A-7D9A-44B2-A721-BB082BD4340C}">
  <dimension ref="A3:B8"/>
  <sheetViews>
    <sheetView workbookViewId="0">
      <selection activeCell="M10" sqref="M10"/>
    </sheetView>
  </sheetViews>
  <sheetFormatPr defaultRowHeight="14.4" x14ac:dyDescent="0.3"/>
  <cols>
    <col min="1" max="1" width="12.5546875" bestFit="1" customWidth="1"/>
    <col min="2" max="2" width="14.44140625" bestFit="1" customWidth="1"/>
  </cols>
  <sheetData>
    <row r="3" spans="1:2" x14ac:dyDescent="0.3">
      <c r="A3" s="1" t="s">
        <v>3339</v>
      </c>
      <c r="B3" t="s">
        <v>3337</v>
      </c>
    </row>
    <row r="4" spans="1:2" x14ac:dyDescent="0.3">
      <c r="A4" s="2" t="s">
        <v>51</v>
      </c>
      <c r="B4" s="6">
        <v>652450.74000000034</v>
      </c>
    </row>
    <row r="5" spans="1:2" x14ac:dyDescent="0.3">
      <c r="A5" s="2" t="s">
        <v>43</v>
      </c>
      <c r="B5" s="6">
        <v>595559.19999999984</v>
      </c>
    </row>
    <row r="6" spans="1:2" x14ac:dyDescent="0.3">
      <c r="A6" s="2" t="s">
        <v>24</v>
      </c>
      <c r="B6" s="6">
        <v>515439.86999999994</v>
      </c>
    </row>
    <row r="7" spans="1:2" x14ac:dyDescent="0.3">
      <c r="A7" s="2" t="s">
        <v>75</v>
      </c>
      <c r="B7" s="6">
        <v>461468.04999999981</v>
      </c>
    </row>
    <row r="8" spans="1:2" x14ac:dyDescent="0.3">
      <c r="A8" s="2" t="s">
        <v>36</v>
      </c>
      <c r="B8" s="6">
        <v>433386.28999999986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2BA4-9DA4-4E98-9FC3-CB355D049BE0}">
  <dimension ref="A3:M15"/>
  <sheetViews>
    <sheetView topLeftCell="A2" zoomScale="111" workbookViewId="0">
      <selection activeCell="M13" sqref="M13"/>
    </sheetView>
  </sheetViews>
  <sheetFormatPr defaultRowHeight="14.4" x14ac:dyDescent="0.3"/>
  <cols>
    <col min="1" max="1" width="12.5546875" bestFit="1" customWidth="1"/>
    <col min="2" max="2" width="14.44140625" bestFit="1" customWidth="1"/>
    <col min="3" max="3" width="16" bestFit="1" customWidth="1"/>
  </cols>
  <sheetData>
    <row r="3" spans="1:13" x14ac:dyDescent="0.3">
      <c r="A3" s="1" t="s">
        <v>3339</v>
      </c>
      <c r="B3" t="s">
        <v>3337</v>
      </c>
      <c r="C3" t="s">
        <v>3338</v>
      </c>
    </row>
    <row r="4" spans="1:13" x14ac:dyDescent="0.3">
      <c r="A4" s="2" t="s">
        <v>3340</v>
      </c>
      <c r="B4" s="6">
        <v>240133.74999999994</v>
      </c>
      <c r="C4" s="6">
        <v>87</v>
      </c>
    </row>
    <row r="5" spans="1:13" x14ac:dyDescent="0.3">
      <c r="A5" s="2" t="s">
        <v>3341</v>
      </c>
      <c r="B5" s="6">
        <v>218328.63999999996</v>
      </c>
      <c r="C5" s="6">
        <v>79</v>
      </c>
    </row>
    <row r="6" spans="1:13" x14ac:dyDescent="0.3">
      <c r="A6" s="2" t="s">
        <v>3342</v>
      </c>
      <c r="B6" s="6">
        <v>230778.83000000007</v>
      </c>
      <c r="C6" s="6">
        <v>95</v>
      </c>
    </row>
    <row r="7" spans="1:13" x14ac:dyDescent="0.3">
      <c r="A7" s="2" t="s">
        <v>3343</v>
      </c>
      <c r="B7" s="6">
        <v>195355.71999999994</v>
      </c>
      <c r="C7" s="6">
        <v>75</v>
      </c>
    </row>
    <row r="8" spans="1:13" x14ac:dyDescent="0.3">
      <c r="A8" s="2" t="s">
        <v>3344</v>
      </c>
      <c r="B8" s="6">
        <v>203016.02999999997</v>
      </c>
      <c r="C8" s="6">
        <v>75</v>
      </c>
    </row>
    <row r="9" spans="1:13" x14ac:dyDescent="0.3">
      <c r="A9" s="2" t="s">
        <v>3345</v>
      </c>
      <c r="B9" s="6">
        <v>202792.4500000001</v>
      </c>
      <c r="C9" s="6">
        <v>75</v>
      </c>
    </row>
    <row r="10" spans="1:13" x14ac:dyDescent="0.3">
      <c r="A10" s="2" t="s">
        <v>3346</v>
      </c>
      <c r="B10" s="6">
        <v>180952.22</v>
      </c>
      <c r="C10" s="6">
        <v>76</v>
      </c>
    </row>
    <row r="11" spans="1:13" x14ac:dyDescent="0.3">
      <c r="A11" s="2" t="s">
        <v>3347</v>
      </c>
      <c r="B11" s="6">
        <v>270543.21999999997</v>
      </c>
      <c r="C11" s="6">
        <v>98</v>
      </c>
    </row>
    <row r="12" spans="1:13" x14ac:dyDescent="0.3">
      <c r="A12" s="2" t="s">
        <v>3348</v>
      </c>
      <c r="B12" s="6">
        <v>242614.75000000006</v>
      </c>
      <c r="C12" s="6">
        <v>79</v>
      </c>
    </row>
    <row r="13" spans="1:13" x14ac:dyDescent="0.3">
      <c r="A13" s="2" t="s">
        <v>3349</v>
      </c>
      <c r="B13" s="6">
        <v>204858.7</v>
      </c>
      <c r="C13" s="6">
        <v>83</v>
      </c>
      <c r="M13" t="s">
        <v>3352</v>
      </c>
    </row>
    <row r="14" spans="1:13" x14ac:dyDescent="0.3">
      <c r="A14" s="2" t="s">
        <v>3350</v>
      </c>
      <c r="B14" s="6">
        <v>243064.5499999999</v>
      </c>
      <c r="C14" s="6">
        <v>89</v>
      </c>
    </row>
    <row r="15" spans="1:13" x14ac:dyDescent="0.3">
      <c r="A15" s="2" t="s">
        <v>3351</v>
      </c>
      <c r="B15" s="6">
        <v>225865.2900000001</v>
      </c>
      <c r="C15" s="6">
        <v>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FD354-EEFF-4865-BD62-1F6ACC73846B}">
  <dimension ref="A3:B7"/>
  <sheetViews>
    <sheetView workbookViewId="0">
      <selection activeCell="C8" sqref="C8"/>
    </sheetView>
  </sheetViews>
  <sheetFormatPr defaultRowHeight="14.4" x14ac:dyDescent="0.3"/>
  <cols>
    <col min="1" max="1" width="12.5546875" bestFit="1" customWidth="1"/>
    <col min="2" max="2" width="15.88671875" bestFit="1" customWidth="1"/>
  </cols>
  <sheetData>
    <row r="3" spans="1:2" x14ac:dyDescent="0.3">
      <c r="A3" s="1" t="s">
        <v>3339</v>
      </c>
      <c r="B3" t="s">
        <v>3338</v>
      </c>
    </row>
    <row r="4" spans="1:2" x14ac:dyDescent="0.3">
      <c r="A4" s="2" t="s">
        <v>48</v>
      </c>
      <c r="B4" s="6">
        <v>98</v>
      </c>
    </row>
    <row r="5" spans="1:2" x14ac:dyDescent="0.3">
      <c r="A5" s="2" t="s">
        <v>60</v>
      </c>
      <c r="B5" s="6">
        <v>686</v>
      </c>
    </row>
    <row r="6" spans="1:2" x14ac:dyDescent="0.3">
      <c r="A6" s="2" t="s">
        <v>17</v>
      </c>
      <c r="B6" s="6">
        <v>108</v>
      </c>
    </row>
    <row r="7" spans="1:2" x14ac:dyDescent="0.3">
      <c r="A7" s="2" t="s">
        <v>70</v>
      </c>
      <c r="B7" s="6">
        <v>108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1315-A585-485B-86CA-C1FE8EBA55E8}">
  <dimension ref="A3:B5"/>
  <sheetViews>
    <sheetView zoomScale="98" workbookViewId="0">
      <selection activeCell="D21" sqref="D21"/>
    </sheetView>
  </sheetViews>
  <sheetFormatPr defaultRowHeight="14.4" x14ac:dyDescent="0.3"/>
  <cols>
    <col min="1" max="1" width="12.77734375" bestFit="1" customWidth="1"/>
    <col min="2" max="2" width="14.77734375" bestFit="1" customWidth="1"/>
  </cols>
  <sheetData>
    <row r="3" spans="1:2" x14ac:dyDescent="0.3">
      <c r="A3" s="1" t="s">
        <v>3339</v>
      </c>
      <c r="B3" t="s">
        <v>3337</v>
      </c>
    </row>
    <row r="4" spans="1:2" x14ac:dyDescent="0.3">
      <c r="A4" s="2" t="s">
        <v>29</v>
      </c>
      <c r="B4" s="6">
        <v>906580.14000000013</v>
      </c>
    </row>
    <row r="5" spans="1:2" x14ac:dyDescent="0.3">
      <c r="A5" s="2" t="s">
        <v>15</v>
      </c>
      <c r="B5" s="6">
        <v>1751724.0100000009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Vrinda Store Report 2025</vt:lpstr>
      <vt:lpstr>Channels</vt:lpstr>
      <vt:lpstr>Gender and Age</vt:lpstr>
      <vt:lpstr>Vrinda Store</vt:lpstr>
      <vt:lpstr>State Sales</vt:lpstr>
      <vt:lpstr>Sales vs Order</vt:lpstr>
      <vt:lpstr>order status</vt:lpstr>
      <vt:lpstr>Men vs  Women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Aryan Rajput</cp:lastModifiedBy>
  <dcterms:created xsi:type="dcterms:W3CDTF">2026-07-03T13:42:22Z</dcterms:created>
  <dcterms:modified xsi:type="dcterms:W3CDTF">2026-07-09T14:24:59Z</dcterms:modified>
</cp:coreProperties>
</file>